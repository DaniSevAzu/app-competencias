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R:\Común Centros\Grupos de Trabajo\Alpha. Safety Journey\H&amp;S Capabilities\Modelo Competencial\05 Evaluación\"/>
    </mc:Choice>
  </mc:AlternateContent>
  <xr:revisionPtr revIDLastSave="0" documentId="13_ncr:1_{AD9DDFC2-0DD2-401E-A295-8982D4234E61}" xr6:coauthVersionLast="47" xr6:coauthVersionMax="47" xr10:uidLastSave="{00000000-0000-0000-0000-000000000000}"/>
  <bookViews>
    <workbookView xWindow="-120" yWindow="-120" windowWidth="29040" windowHeight="15720" tabRatio="796" xr2:uid="{D96B4A69-D8BA-49D5-924B-0797282ACBEA}"/>
  </bookViews>
  <sheets>
    <sheet name="Evaluación SyP" sheetId="13" r:id="rId1"/>
    <sheet name="Metodología " sheetId="31" r:id="rId2"/>
    <sheet name="Inf.Trabj 1 (2)" sheetId="32" r:id="rId3"/>
    <sheet name="Informe Global" sheetId="21" r:id="rId4"/>
    <sheet name="Listas cerradas" sheetId="19" state="hidden" r:id="rId5"/>
  </sheets>
  <definedNames>
    <definedName name="_xlnm._FilterDatabase" localSheetId="0" hidden="1">'Evaluación SyP'!$A$8:$F$78</definedName>
    <definedName name="_xlnm.Print_Area" localSheetId="0">'Evaluación SyP'!$A$8:$C$75</definedName>
    <definedName name="_xlnm.Print_Area" localSheetId="2">'Inf.Trabj 1 (2)'!$A$2:$T$42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32" l="1"/>
  <c r="B24" i="32"/>
  <c r="B7" i="32"/>
  <c r="F6" i="32"/>
  <c r="B6" i="32"/>
  <c r="F5" i="32"/>
  <c r="B5" i="32"/>
  <c r="F4" i="32"/>
  <c r="B4" i="32"/>
  <c r="F3" i="32"/>
  <c r="B3" i="32"/>
  <c r="B88" i="13" l="1"/>
  <c r="B86" i="13"/>
  <c r="B87" i="13"/>
  <c r="B85" i="13"/>
  <c r="B95" i="13"/>
  <c r="B94" i="13"/>
  <c r="B93" i="13"/>
  <c r="B92" i="13"/>
  <c r="B96" i="13" l="1"/>
  <c r="B89" i="13"/>
  <c r="B22"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Fernandez Gila, Esther</author>
  </authors>
  <commentList>
    <comment ref="H2" authorId="0" shapeId="0" xr:uid="{4B25E24B-D66F-48A3-A52E-6723E15BD8BD}">
      <text>
        <r>
          <rPr>
            <b/>
            <sz val="9"/>
            <color indexed="81"/>
            <rFont val="Tahoma"/>
            <family val="2"/>
          </rPr>
          <t>Fernandez Gila, Esther:</t>
        </r>
        <r>
          <rPr>
            <sz val="9"/>
            <color indexed="81"/>
            <rFont val="Tahoma"/>
            <family val="2"/>
          </rPr>
          <t xml:space="preserve">
Inicial, Básico, Avanzado, Experto
</t>
        </r>
      </text>
    </comment>
    <comment ref="T2" authorId="0" shapeId="0" xr:uid="{2B087C94-E199-4489-B36F-3CF8AE495B2C}">
      <text>
        <r>
          <rPr>
            <b/>
            <sz val="9"/>
            <color indexed="81"/>
            <rFont val="Tahoma"/>
            <family val="2"/>
          </rPr>
          <t>Fernandez Gila, Esther:</t>
        </r>
        <r>
          <rPr>
            <sz val="9"/>
            <color indexed="81"/>
            <rFont val="Tahoma"/>
            <family val="2"/>
          </rPr>
          <t xml:space="preserve">
%</t>
        </r>
      </text>
    </comment>
    <comment ref="U2" authorId="0" shapeId="0" xr:uid="{03A718BA-E549-47F6-AB58-FFF908C00AF2}">
      <text>
        <r>
          <rPr>
            <b/>
            <sz val="9"/>
            <color indexed="81"/>
            <rFont val="Tahoma"/>
            <family val="2"/>
          </rPr>
          <t>Fernandez Gila, Esther:</t>
        </r>
        <r>
          <rPr>
            <sz val="9"/>
            <color indexed="81"/>
            <rFont val="Tahoma"/>
            <family val="2"/>
          </rPr>
          <t xml:space="preserve">
No evaluable, Estático, Lateral, Promocionalbe, Potencial Alto</t>
        </r>
      </text>
    </comment>
  </commentList>
</comments>
</file>

<file path=xl/sharedStrings.xml><?xml version="1.0" encoding="utf-8"?>
<sst xmlns="http://schemas.openxmlformats.org/spreadsheetml/2006/main" count="577" uniqueCount="206">
  <si>
    <t>Inicial</t>
  </si>
  <si>
    <t>Contratas</t>
  </si>
  <si>
    <t>Estrategia</t>
  </si>
  <si>
    <t>Gestión del Cambio</t>
  </si>
  <si>
    <t>Básico</t>
  </si>
  <si>
    <t>Avanzado</t>
  </si>
  <si>
    <t>Experto</t>
  </si>
  <si>
    <t>PILARES</t>
  </si>
  <si>
    <t>EXPECTATIVAS</t>
  </si>
  <si>
    <t>Incidentes a personas o instalaciones</t>
  </si>
  <si>
    <t>Gestión de Riesgos (Plan Acción,  estándares )</t>
  </si>
  <si>
    <t>Gestión de Riesgos. Gestión del día a día</t>
  </si>
  <si>
    <t xml:space="preserve">Conoce y explica a su equipo el protocolo de Gestión del Cambio en Equipos e Instalaciones (Ingeniería y/o Mantenimiento)
</t>
  </si>
  <si>
    <t>Comunica los accidentes del personal a su cargo e incidentes importantes en su UAP/turno, informando de la situación de las personas, una breve descripción de lo ocurrido.</t>
  </si>
  <si>
    <t>Comunica y registra en el sistema los accidentes del personal a su cargo e incidentes importantes en su UAP/turno para asegurar que estos se investiguen; informando de la situación de las personas, una breve descripción de lo ocurrido y de las medidas inmediatas que se han adoptado.</t>
  </si>
  <si>
    <t xml:space="preserve">Comunica y participa activamente en la investigación de accidentes e incidentes, con un enfoque centrado en la identificación de causas raíz, en la definición e implantación de acciones correctoras y en una cultura de aprendizaje y trato justo.
Comparte regularmente y en distintos foros la información de accidentes/incidentes de otras fábricas o empresas del grupo, generando un diálogo sobre las causas raíz detectadas y promoviendo que se repliquen aquellas acciones correctoras/lecciones aprendidas que pueden evitar un riesgo o suponer una mejora.
</t>
  </si>
  <si>
    <t xml:space="preserve">Conoce  y explica a su equipo las obligaciones y procedimientos de SyP aplicables al personal de contrata. (Existencia de requisitos de acceso, posible deshomologación en caso de incumpliento en SyP, criterios para la realización de SOLPED en caso de tener autorización para realizarlas etc)
</t>
  </si>
  <si>
    <t>Conoce y explica a su equipo y las contratas las obligaciones y procedimientos de SyP aplicables. Una vez autorizado el acceso y antes de empezar a trabajar dedica el tiempo necesario con el encargado de la contrata para incluir su contacto en el panel, visitar la zona,  planificar tareas, permisos de trabajo y bloqueo y revisar si es necesario modificar algún riesgo o medida preventiva en el  documento de gestión preventiva.
Durante la ejecución de los trabajos,  mantiene conversaciones puntuales con el personal de contrata si se produce un cambio y/o para dar soporte o facilitar instrucciones relativas al correcto uso de EPIS, señalización de la zona, condiciones de orden y limpieza en los tajos etc.</t>
  </si>
  <si>
    <t xml:space="preserve">Conoce y explica a su equipo y las contratas las obligaciones y procedimientos de SyP aplicables. Antes de empezar a trabajar dedica un tiempo con el encargado de la contrata para incluir su contacto en el panel, visitar la zona,  planificar tareas, permisos de trabajo y bloqueo y revisar conjuntamente si es necesario modificar algún riesgo o medida preventiva en el  documento de gestión preventiva.
Lidera la supervisión diaria de contratas, manteniendo conversaciones de seguridad de manera habitual, instando a su equipo a que también lo haga y fomentando que las contratas comuniquen cualquier duda, situación de riesgo detectada o idea de mejora. Participa de manera activa en las reuniones CAE, comunicando observaciones positivas, incidencias y aspectos a tener cuenta durante la próxima semana.
</t>
  </si>
  <si>
    <t>Da visibilidad e influye en otros para conseguir una adecuada gestión de riesgos. Regularmente comparte con su equipo y con otros (RUAP, Dirección, Técnico SyP, otros centros...) información sobre la prioridad,  avance y planificación de acciones del Plan de Acción de SyP . Traslada y planifica junto a su equipo y/o el personal en turno durante la campaña la realización de acciones autogestionables, impulsando que estas se hagan en plazo, proponiendo en su caso ideas de mejora y buscando más allá de la consecución del objetivo una cultura donde la implantación y propuesta de acciones correctoras forme parte del día a día de cualquier persona.</t>
  </si>
  <si>
    <t>En el cambio de turno y/o a primera hora durante la intercampaña, revisa y planifica las incidencias y tareas, compartiendo y analizando con su equipo la situación de permisos y bloqueos en curso o que será necesario realizar, impulsando a través de dicho diálogo (top/cambio de turno) que dichos permisos se apliquen de manera correcta, exista una adecuada custodia de llaves y en caso necesario, se designe y todos conozcan quien es el Recurso Preventivo en la zona.</t>
  </si>
  <si>
    <t>Sensibiliza, e insta a su equipo, a otros RUAP/UiT o superiores jerárquicos para que analicen el posible impacto en SyP de cualquier proyecto, cambio organizativo, intervención de mantenimiento o procesos que implican cambios relevantes (personas, instalaciones, equipos, proceso, productos o materias primas...) 
Comparte su conocimiento, colaborando de manera proactiva con otros en el análisis de SyP, en la definición y difusión de medidas específicas para mitigar dicho cambio, haciendo seguimiento periódico y asegurándose de su correcta y exitosa implantación.</t>
  </si>
  <si>
    <t>Explica a su equipo el protocolo de Gestión del Cambio en Equipos e Instalaciones (Ingeniería y/o Mantenimiento), haciendo hincapié en el posible impacto en SyP que puede suponer un cambio en un equipo, instalación, proceso, rutinas de limipieza, etc. Lleva a cabo el análisis de impacto en seguridad, higiene y ergonomía y planifica en su caso la adopción de medidas preventivas.</t>
  </si>
  <si>
    <t>Da visibilidad e integra la implantación de la Estrategia de SyP de manera continua, incorporando en su agenda  acciones  como compartir información sobre objetivos e indicadores de SyP, haciendo seguimiento de los objetivos asignados a su equipo, liderando las reuniones con contratas, planificando e implantado acciones correctoras en su UAP, asegurando el uso de permisos de trabajo, fichas LOTO y procedimientos de tarea  y participando en los programas de bienestar.</t>
  </si>
  <si>
    <t>Conoce e informa con cierta regularidad sobre los proyectos clave y los objetivos de SyP (Desempeño Preventivo) establecidos para su UAP/UiT/Departamento</t>
  </si>
  <si>
    <t>Explica con facilidad cuáles son los riesgos críticos de negocio, los procedimientos/mecanismos de control (ATEX, trabajos en altura, ruido, ...) y las acciones prioritarias del Plan de Acción de su UAP/UiT/Departamento.</t>
  </si>
  <si>
    <t>Conoce  y explica a su equipo las obligaciones y procedimientos de SyP aplicables al personal de contrata. Explica  e insta a su equipo para que las SOLPED realizadas en su UAP clasifiquen correctamente el tipo de trabajo y los requisitos de SyP. Valida los documentos de gestión preventiva y/o da el soporte necesario a la contrata para que incluya las medidas necesarias.</t>
  </si>
  <si>
    <t>Crea sinergias con otras UAPs para alcanzar el Desempeño Preventivo Excelente para el centro. 
Participa activamente en el diseño de los programas de desarrollo de la Estrategia en SyP
Comparte y comunica el impacto de los programas de los proyectos clave, mas allá del resultado del KPI</t>
  </si>
  <si>
    <t>Planifica distiribuyendo tareas concretas a todo el personal de su UAP  (incluido él) de forma que todos ellos participen en la consecución de los Proyectos Clave y del  Desempeño Preventivo</t>
  </si>
  <si>
    <t>Puntuación del Traspaso de Inform. Visión 360º</t>
  </si>
  <si>
    <t>Explicar/Mostrar la planificación con las tareas concretas asignadas a cada miembro de la UAP, incluido el R.UAP</t>
  </si>
  <si>
    <t>¿Qué acciones llevas a cabo en tu UAP para dar visibilidad a la Estrategia?</t>
  </si>
  <si>
    <t xml:space="preserve">De manera frecuente habla con su equipo sobre Gestión del Cambio, instando y reconociendo positivamente que le comuniquen cualquier modificación; se anticipa dando el soporte necesario para que se analice su impacto en términos de seguridad y salud, y se adopten las medidas necesarias de manera previa. 
En los procesos de cambios organizativos tales como asignación a su UAP/UiT/Departamento de nuevas zonas, equipos, tareas o personas, comunica a su Responsable las medidas especificas propuestas  para mitigar dicho cambio y para que el cambio se lleve a cabo de la manera más exitosa posible. </t>
  </si>
  <si>
    <t>Tiene predisposición para informar y mantener conversaciones de manera habitual con otros sobre riesgos críticos de negocio y los procedimientos/mecanismos de control. Conoce en detalle las acciones de SyP en su UAP/UiT/Departamento y las comparte con su equipo, promoviendo su resolución a través de los CAPEX de fábrica y/ la bolsa de notificaciones.</t>
  </si>
  <si>
    <t xml:space="preserve">Informa de manera clara y regular sobre acciones, prioridades y seguimiento del Plan de Acción de SyP. Traslada a su equipo las acciones autogestionables, incluyendo su ejecución dentro de la rutina de la UAP/UiT/Departamento e interáctua con otras áreas o departamentos para que aquellas que no puede resolver de manera interna se lleven a cabo a través de CAPEX y/o la bolsa de NR </t>
  </si>
  <si>
    <t>Conoce y recuerda a su equipo con cierta regularidad los comportamientos Clave, los procedimientos y dinámicas de SyP  para la identificación y gestión de riesgos en el día a día (notificaciones de riesgos, permisos de trabajo, fichas de bloqueo, rutinas de limpieza en zonas ATEX, comprobaciones en equipos de trabajo como escaleras, eslingas, carretillas, plataformas, arneses etc)</t>
  </si>
  <si>
    <t>Revisa y planifica las incidencias y tareas y el estado/necesidad de permisos y bloqueos a diario, manteniendo un diálogo formal y trabajando con su equipo/turno para impulsar su correcta aplicación/adaptación en caso necesario. Conoce y explica los procedimientos de tarea de la UAP/UiT, promoviendo su divulgación, uso y actualización continua. 
A diario visita los tajos y mantiene conversaciones regulares de seguridad, generando un ambiente adecuado para que cualquier persona comunique de manera abierta una duda, situación de riesgo o idea de mejora. Facilita feedback positivo cuando observa una buena práctica y resuelve junto a la persona implicada aquellas situaciones de riesgo detectadas que pueden resolverse fácilmente (ej. un resguardo desmontado o mal fijado, limpieza de un derrame, materiales o mangueras en zonas de paso, compañero sin agarrar al pasamanos, uso de herramienta inadecuada o en mal estado etc), registrando in situ aquellas que no pueden solucionarse de inmediato.</t>
  </si>
  <si>
    <t>Da visibilidad a la importancia de la gestión diaria de riesgos, incorporando en su agenda diaria acciones tales como la explicación  y puesta en común de permisos, bloqueos y procedimientos de tarea,  asegurando un adecuado traspaso de información en los cambios de turno, la presencia de Recursos Preventivos y la asignación de tareas a personal con el nivel de competencia adecuado.
Planifica tiempo diario específico para visitar, realizar comprobaciones y dar soporte sobre los aspectos mencionados tanto en  su UAP como en el resto del centro.</t>
  </si>
  <si>
    <t xml:space="preserve">Comunica y registra dentro del turno los accidentes del personal a su cargo e incidentes importantes. Participa y promueve involucrar al personal  implicado en la investigación y en la propuesta de acciones correctoras, reconociendo su participación y fomentado una cultura de trato justo.
Comparte regularmente y en distintos foros (TOP, Cambio de Turno, RLean...) la información de accidentes/incidentes del centro, otras fábricas o empresas del grupo, generando un diálogo focalizado en las causas raíz detectadas y en el aprendizaje.
</t>
  </si>
  <si>
    <t>NIVEL</t>
  </si>
  <si>
    <t>En caso necesario, ¿cómo compruebas si un trabajador/empresa está autorizada para acceder al centro y/o para un trabajo concreto?</t>
  </si>
  <si>
    <t>¿Cuáles son los criterios de deshomologación de contratas?</t>
  </si>
  <si>
    <t>¿Conoces clasificación de contratas según trabajos?</t>
  </si>
  <si>
    <t>inicial</t>
  </si>
  <si>
    <t>basico</t>
  </si>
  <si>
    <t>avanzado</t>
  </si>
  <si>
    <t>experto</t>
  </si>
  <si>
    <t>Nivel</t>
  </si>
  <si>
    <t xml:space="preserve">¿Qué documentos apruebas tu, en la gestión de contratas? </t>
  </si>
  <si>
    <t xml:space="preserve">¿Qué haces cuando llega una contrata al centro por 1ª vez? </t>
  </si>
  <si>
    <t>¿Cómo planificas los trabajos y el seguimiento de las contratas en tu UAP</t>
  </si>
  <si>
    <t>Respecto al panel de contratas ¿Dónde está, qué información tiene y cuándo lo actualizas?</t>
  </si>
  <si>
    <t>Identifica 3 aspectos positivos /ideas de mejora que hayan surgido de las conversaciones de seguridad habituales mantenidas con tus contratas</t>
  </si>
  <si>
    <t>¿Qué dinámicas/herramientas/buenas prácticas, has implementado con contratas (fuera de lo que son obligaciones para la Linea de mando)?</t>
  </si>
  <si>
    <t>¿Cuáles son los Proyectos Clave de Salud y Prevención?</t>
  </si>
  <si>
    <t>Enumera alguno de los KPIs asociados a cada Proyecto Clave</t>
  </si>
  <si>
    <t>¿Qué tipo de tareas planificas?</t>
  </si>
  <si>
    <t>¿Cómo planificas y haces seguimiento de esas tareas?</t>
  </si>
  <si>
    <t>¿Qué propuestas has enviado a SyP para la Estrategia del próximo ejercicio?</t>
  </si>
  <si>
    <t>Cómo has colaborado con otras UAPs para llegar a un Desempeño Preventivo excelente</t>
  </si>
  <si>
    <t xml:space="preserve">Enumera alguno de los Riesgos Críticos y principales medidas de control </t>
  </si>
  <si>
    <t>¿Cuáles son las acciones prioritarias  (I-II) pendientes de tu UAP?</t>
  </si>
  <si>
    <t>¿Cómo compartes las acciones de tu UAP para impulsar su cierre?</t>
  </si>
  <si>
    <t xml:space="preserve"> ¿Cómo/con qué periodicidad planificas y haces seguimiento el cierre de acciones?</t>
  </si>
  <si>
    <t>¿Cómo aseguras la resolución de acciones a lo largo de todo el año (campaña, vacaciones, desplazamientos a otro centro etc)?</t>
  </si>
  <si>
    <t>¿Por qué tú gestión de acciones es excelente?</t>
  </si>
  <si>
    <t>Indica alguna acción/es en la que has dado soporte a otras UAPs en función de tu especialidad/conocimiento</t>
  </si>
  <si>
    <t xml:space="preserve">¿Conoces cuáles son los Comportamientos Clave y algunas de las herramientas para identificar riesgos? (Indica algún ejemplo)
</t>
  </si>
  <si>
    <t>Comprobar que ha realizado NR en el último año</t>
  </si>
  <si>
    <t>¿Cuáles son las preguntas mínimas (de SyP) a compartir en el cambio de turno y/o en las Tops diarias?</t>
  </si>
  <si>
    <t>¿Cuáles son las 2 ultimas conversaciones de seguridad mantenidas?</t>
  </si>
  <si>
    <t>¿Qué situación motivó la conversación, sobre qué y con quién y qué hiciste?</t>
  </si>
  <si>
    <t>¿Cuál fue el ultimo reconocimiento positivo?</t>
  </si>
  <si>
    <t>En tus últimas vueltas por fábrica qué situaciones de riesgo has identificado fuera de tu UAP y qué has hecho</t>
  </si>
  <si>
    <t>¿Cómo gestionas durante campaña aquellas incidencias en proceso que puedan tener consecuencias en Seguridad y Salud?</t>
  </si>
  <si>
    <t xml:space="preserve">¿En qué consiste el Procedimiento Gestión del Cambio? </t>
  </si>
  <si>
    <t>¿Cómo queda constancia? (Especificar tanto para ingeniería como para mantenimiento)</t>
  </si>
  <si>
    <t>¿Cuándo lo aplicas? (Indicar algún ejemplo/s)</t>
  </si>
  <si>
    <t>¿Qué aspectos de SyP tienes en cuenta para asignar tareas a las personas de tu equipo?</t>
  </si>
  <si>
    <t>Una vez ejecutado un trabajo, ¿Te han comunicado algún posible impacto en gestión del cambio? (Por ej. la actualización de una ficha LOTO, de un procedimiento de tarea, adecuación 1215, realización de una orden de mantenimiento, etc)?</t>
  </si>
  <si>
    <t>En caso de accidente e incidente ¿Qué tienes que hacer?</t>
  </si>
  <si>
    <t>¿Cómo y con quien compartes los accidentes/incidentes?</t>
  </si>
  <si>
    <t xml:space="preserve">¿Qué información compartes sobre un accidente/incidentes? (Descripción, causas, medidas, medidas a copiar de otro centro etc) </t>
  </si>
  <si>
    <t>Además del registro inmediato en SAP ¿De qué otra forma participas en la investigación de accidentes/incidentes?</t>
  </si>
  <si>
    <t>¿En cuantos GRPs has participado este año? Y explicación breve</t>
  </si>
  <si>
    <t xml:space="preserve">¿Qué acciones de otros centros derivadas de AT has implementado? 
</t>
  </si>
  <si>
    <t>Seleccionar aleatoriamente 3 SOLPED y comprobar clasificación según trabajos y requisitos de seguridad</t>
  </si>
  <si>
    <t>Visitar el panel y comprobar si está ok con las contratas de esta UAP</t>
  </si>
  <si>
    <t>Selecciona aleatoriamente 2 Permisos/Bloqueos de esta UAP en los que participen contratas (contrasta el permiso/bloqueo con la situacion en campo. Por ej. recurso preventivo en campo, ejecutores informados por autorizante/supervisor etc)</t>
  </si>
  <si>
    <t>Todos los trabajos de contratas completados están finalizados en la App</t>
  </si>
  <si>
    <t>Existen NR puestas por contratas que están trabajando en la UAP y son conocidas por el RUAP</t>
  </si>
  <si>
    <t xml:space="preserve">Seleccionar a un trabajador de contrata y comprobar que han existido conversaciones de seguridad, (el Rble UAP le ha preguntado por qué ejecuta la tarea de esta forma, conoce los riesgos y la consecuencias de lo que hace, conoce como notificar un riesgo o una idea de mejora o le han reconocido por su comportamiento seguro)
</t>
  </si>
  <si>
    <t>Resultado del Desempeño Preventivo del mes anterior al menos de 6.5</t>
  </si>
  <si>
    <t xml:space="preserve">Estar en nivel Excelente del Desempeño Preventivo y disponer de al menos 2 KPIs en niveles superiores al 100%
</t>
  </si>
  <si>
    <t xml:space="preserve">Seleccionar 3 personas de la UAP y comprobar conocimiento sobre procedimientos de contratas </t>
  </si>
  <si>
    <t>Seleccionar 3 personas de la UAP y comprobar conocimiento sobre las medidas de control de riesgos críticos</t>
  </si>
  <si>
    <r>
      <t>Visualizar el plan de acción y localizar información:
¿Cuántas acciones tienes abiertas fuera de plazo (</t>
    </r>
    <r>
      <rPr>
        <sz val="11"/>
        <rFont val="Aptos Narrow"/>
        <family val="2"/>
      </rPr>
      <t>≤</t>
    </r>
    <r>
      <rPr>
        <sz val="11"/>
        <rFont val="Calibri"/>
        <family val="2"/>
      </rPr>
      <t>20%)?</t>
    </r>
  </si>
  <si>
    <t>Resultado del Desempeño Preventivo - Entorno Seguro del mes anterior al menos de 6.5</t>
  </si>
  <si>
    <t>Estar en nivel Excelente del Desempeño Preventivo y existe una tendencia homogenea y positiva del cierre de acciones a lo largo del ejercicio (incluyendo campaña)</t>
  </si>
  <si>
    <t>Seleccionar un bloqueo y auditar ficha, bloqueo en campo y custodia de llaves</t>
  </si>
  <si>
    <t xml:space="preserve">Comprobar 2 obras abiertas Condiciones de Trabajo y en caso de existir permiso de trabajo/bloqueo verificar que todo está correcto
</t>
  </si>
  <si>
    <t>Seleccionar a un trabajador de la UAP durante la visita a una de las obras seleccionadas y comprobar que han existido conversaciones de seguridad, (el Rble UAP le ha preguntado por qué ejecuta la tarea de esta forma, conoce los riesgos y la consecuencias de lo que hace, conoce como notificar un riesgo o una idea de mejora o le han reconocido por su comportamiento seguro)</t>
  </si>
  <si>
    <t>Seleccionar 3 personas de la UAP y comprobar conocimiento sobre el procedimiento de Gestión del Cambio</t>
  </si>
  <si>
    <t>Indica una inicitiva o propuesta que hayas hecho ¿Cómo has liderado y gestionado la gestión del cambio?</t>
  </si>
  <si>
    <t>Indica que acciones estas llevando a cabo con otros para promover la Gestión del Cambio</t>
  </si>
  <si>
    <t xml:space="preserve">Seleccionar 1 obra/mantenimiento en su UAP y comprobar que se ha realizado en el ánalisis de impacto y  las medidas de mitigación </t>
  </si>
  <si>
    <t xml:space="preserve">Seleccionar 1 obra/mantenimiento fuera de su UAP y comprobar que ha participado en el ánalisis de impacto y en las medidas de mitigación </t>
  </si>
  <si>
    <t>Puntuación de participación del mando el investigación</t>
  </si>
  <si>
    <t xml:space="preserve">Tener 3 acciones planificadas/implementadas de un AT de otro centro 
</t>
  </si>
  <si>
    <t xml:space="preserve">Existen acciones abiertas autogestionables que deriven de un Accidente con lesión ocurrido en los ultimos 3 meses (Valoración 0 para acciones abiertas que no se han cerrado en 1.5 meses desde la fecha del accidente) </t>
  </si>
  <si>
    <t>KPI 360.- traspaso de información  por encima de 6,5 y seleccionar a 2 personas del equipo y que faciliten la información deaccidentes/incidentes del mes (causas y aprendizajes)</t>
  </si>
  <si>
    <t>01 Inicial</t>
  </si>
  <si>
    <t>02 Básico</t>
  </si>
  <si>
    <t>03 Avanzado</t>
  </si>
  <si>
    <t>04 Experto</t>
  </si>
  <si>
    <t>Criterios de Evaluación</t>
  </si>
  <si>
    <t>Items de Evaluación</t>
  </si>
  <si>
    <t>Subjetivos</t>
  </si>
  <si>
    <t>Objetivos</t>
  </si>
  <si>
    <t>Respuestas</t>
  </si>
  <si>
    <t>Alcanzado</t>
  </si>
  <si>
    <t>No Alcanzado</t>
  </si>
  <si>
    <t>Parcialmente Alcanzado</t>
  </si>
  <si>
    <t>Nombre</t>
  </si>
  <si>
    <t>Fecha</t>
  </si>
  <si>
    <t>Puesto</t>
  </si>
  <si>
    <t>Evaluador</t>
  </si>
  <si>
    <t>Dpto/Área</t>
  </si>
  <si>
    <t>Potencial</t>
  </si>
  <si>
    <t>Desempeño</t>
  </si>
  <si>
    <t>Global</t>
  </si>
  <si>
    <t>Plan de Acción</t>
  </si>
  <si>
    <t>Tutelaje</t>
  </si>
  <si>
    <t>Observaciones</t>
  </si>
  <si>
    <t>Mentoring</t>
  </si>
  <si>
    <t>Plan de Carrera</t>
  </si>
  <si>
    <t>Form. Técnica</t>
  </si>
  <si>
    <t>Gestión de Riesgos dia a dia</t>
  </si>
  <si>
    <t>Incidentes</t>
  </si>
  <si>
    <t>BAJO</t>
  </si>
  <si>
    <t>Reconsiderar futuro</t>
  </si>
  <si>
    <t>MEDIO</t>
  </si>
  <si>
    <t>Motivarle y ayudar a centrarse</t>
  </si>
  <si>
    <t>ALTO</t>
  </si>
  <si>
    <t>Supervisión</t>
  </si>
  <si>
    <t>Seguir creciendo en rol actual</t>
  </si>
  <si>
    <t>Motivarle. Líder emergente</t>
  </si>
  <si>
    <t>Promoción</t>
  </si>
  <si>
    <t>Talento mal ubicado. Investigar, Entrenamiento y ayuda</t>
  </si>
  <si>
    <t>Form.Relacional</t>
  </si>
  <si>
    <t>listo para nuevas oportunidades .Desarrollo puesto actual</t>
  </si>
  <si>
    <t>futuro líder. Listo para promoción</t>
  </si>
  <si>
    <t>Muy valioso pero no promocionable</t>
  </si>
  <si>
    <t>Entrenamiento para mejorar en rol actual</t>
  </si>
  <si>
    <t>AVANZADO</t>
  </si>
  <si>
    <t>Evaluación de Desempeño SyP</t>
  </si>
  <si>
    <t>Acción Concreta</t>
  </si>
  <si>
    <t>Fecha Sgto.</t>
  </si>
  <si>
    <t>Evaluación Desempeño SyP</t>
  </si>
  <si>
    <t>Gestión de Riesgos
Plan de Acción</t>
  </si>
  <si>
    <t>Fecha de Eval.</t>
  </si>
  <si>
    <t>Pepe Pérez</t>
  </si>
  <si>
    <t>Operaciones</t>
  </si>
  <si>
    <t>Ada Fanjul</t>
  </si>
  <si>
    <t>Evaluación de Competencias SyP
Línea de Mando</t>
  </si>
  <si>
    <t>Jefe de Turno</t>
  </si>
  <si>
    <t>Centro</t>
  </si>
  <si>
    <t>UAP</t>
  </si>
  <si>
    <t>Línea de Mando</t>
  </si>
  <si>
    <t>Mto1</t>
  </si>
  <si>
    <t>Fecha Inicio</t>
  </si>
  <si>
    <t>Acciones a seguir para la mejora de competencias en SyP</t>
  </si>
  <si>
    <t>No requiere cálculo</t>
  </si>
  <si>
    <r>
      <t xml:space="preserve">Estático: Si </t>
    </r>
    <r>
      <rPr>
        <sz val="11"/>
        <color theme="1"/>
        <rFont val="Aptos Narrow"/>
        <family val="2"/>
      </rPr>
      <t>≤</t>
    </r>
    <r>
      <rPr>
        <sz val="11"/>
        <color theme="1"/>
        <rFont val="Calibri"/>
        <family val="2"/>
      </rPr>
      <t xml:space="preserve"> 6</t>
    </r>
    <r>
      <rPr>
        <sz val="11"/>
        <color theme="1"/>
        <rFont val="Calibri"/>
        <family val="2"/>
        <scheme val="minor"/>
      </rPr>
      <t xml:space="preserve">0% Pilares por debajo de nivel Avanzado
Lateral: Si </t>
    </r>
    <r>
      <rPr>
        <sz val="11"/>
        <color theme="1"/>
        <rFont val="Aptos Narrow"/>
        <family val="2"/>
      </rPr>
      <t>≥</t>
    </r>
    <r>
      <rPr>
        <sz val="11"/>
        <color theme="1"/>
        <rFont val="Calibri"/>
        <family val="2"/>
      </rPr>
      <t xml:space="preserve"> 60% Pilares en nivel Avanzado</t>
    </r>
    <r>
      <rPr>
        <sz val="11"/>
        <color theme="1"/>
        <rFont val="Calibri"/>
        <family val="2"/>
        <scheme val="minor"/>
      </rPr>
      <t>.
Promocionable: Si 100% Pilares en nivel Avanzado.
Potencial Alto: Si 100% pilares en nivel Experto</t>
    </r>
  </si>
  <si>
    <t>Real</t>
  </si>
  <si>
    <t>Esperado</t>
  </si>
  <si>
    <t>Antigüedad</t>
  </si>
  <si>
    <t>Puntuación mínima</t>
  </si>
  <si>
    <t>Puntuación Obtenida</t>
  </si>
  <si>
    <t>Para cada existen las siguientes opciones y puntuaciones asignadas:
- No Alcanzado = 0 puntos
- Parcialmente Alcanzado = 2 puntos
- Totalmente Alcanzado = 5 puntos
Ej. 
Pilar - Contratas; Nivel Inicial =&gt; 4 ítems a evaluar
Máxima puntuación posible = 20 puntos
Empleado con &lt;3 años de antigüedad; se considera adquirido si  ≥ 80% ( ≥ 16 puntos)
Empleado con &gt;3 años de antigüedad; se considera adquirido si ≥ 95% ( ≥ 19 puntos)</t>
  </si>
  <si>
    <t>La herramienta debe además de permitir la evaluación debe:
1. Permitir incorporar un Plan de Acción para cada persona y en cada pilar. (acción y seguimiento)
2. Permitir la extracción y visualización de informes: 
 - Persona / Pilares / Nivel Real/ Nivel Esperado / Potencial
 - Agrupados por Área; Centro; Coletivo;/ Pilares / Nivel Real/ Esperado / Potencial 
 - Análisis de situación por Pilares
 - Análisis respecto a Potencial</t>
  </si>
  <si>
    <t>Antigüedad puesto (años)</t>
  </si>
  <si>
    <t>Pilar a trabajar</t>
  </si>
  <si>
    <t>Área/Dpto</t>
  </si>
  <si>
    <t>NC Real</t>
  </si>
  <si>
    <t xml:space="preserve">NC Esperado </t>
  </si>
  <si>
    <t>NC Potencial</t>
  </si>
  <si>
    <t>ESTRATEGIA</t>
  </si>
  <si>
    <t>CONTRATAS</t>
  </si>
  <si>
    <t>GESTIÓN DEL CAMBIO</t>
  </si>
  <si>
    <t>INCIDENTES</t>
  </si>
  <si>
    <t>GEST. RIESGOS-PLAN ACCIÓN</t>
  </si>
  <si>
    <t>GEST. RIESGOS - DÍA A DÍA</t>
  </si>
  <si>
    <t>Colectivo</t>
  </si>
  <si>
    <t>ID Empleado</t>
  </si>
  <si>
    <t>Status Global</t>
  </si>
  <si>
    <t>OTROS ASPECTOS A CONSIDERAR</t>
  </si>
  <si>
    <t>¿CÓMO SE CALCULA?</t>
  </si>
  <si>
    <t>DEFINICIÓN</t>
  </si>
  <si>
    <t>NIVEL DE COMPETENCIA (NC)</t>
  </si>
  <si>
    <t>NC REAL</t>
  </si>
  <si>
    <t>NC ESPERADO</t>
  </si>
  <si>
    <t>NC POTENCIAL</t>
  </si>
  <si>
    <r>
      <t xml:space="preserve">Corresponde al nivel de competencia obtenida en un pilar  tras la evaluación de ítems subjetivos y objetivos definidos. (4 Niveles de Compentencia: Inicial, Básico, Avanzado, Experto) 
Un nivel (ej. Inicial) se entiende adquirido cuando al hacer la evaluación del pilar (ej. contratas), la puntuación del total de ítems que lo componen es:
               </t>
    </r>
    <r>
      <rPr>
        <sz val="11"/>
        <color theme="1"/>
        <rFont val="Aptos Narrow"/>
        <family val="2"/>
      </rPr>
      <t xml:space="preserve">≥ 80% si el empleado tiene una antigüedad en el puesto &lt;3 años
               ≥ 95% si el empleado tiene una antigüedad en el puesto &gt;3 años
El nivel de competencia real, no considerará el resto de ítems definidos en un nivel de competencia superior, si en el inmediatamente anterior no se ha conseguido los mínimos de puntuación fijados para pasar al siguiente nivel (≥ 80% si  &lt;3 años y  ≥ 95% si  &gt;3 años)
</t>
    </r>
  </si>
  <si>
    <r>
      <t xml:space="preserve">Dado que las expectativas se han definido de manera específica para cada colectivo, el nivel de Competencia Esperado en cada pilar y para todos los colectivos es: </t>
    </r>
    <r>
      <rPr>
        <b/>
        <sz val="11"/>
        <color theme="1"/>
        <rFont val="Calibri"/>
        <family val="2"/>
        <scheme val="minor"/>
      </rPr>
      <t>Avanzado</t>
    </r>
  </si>
  <si>
    <t>Corresponde al nivel de competencia que habilita a una persona a promocionar a un puesto superior, a ocupar un nuevo puesto en su mismos nivel y/o asumir nuevas funciones/tareas dentro de su puesto.
De acuerdo con el Área de Personas, existen los siguientes perfiles de potencial.
 - No evaluable: Lleva menos de 6 meses en la posición
 - Estático: Sin posibilidad de crecimiento y/o adquirir nuevas funciones o tareas.
 - Lateral: Tiene la capacidad de asumir  un puesto lateral.
 - Promocionable: Puede asumir un puesto de mayor responsabilidad.
 - Potencial Alto: Puede crecer 2 posiciones hacia arriba
Para fijar el Potencial, se tendrán en cuenta los criterios de puntuación y antigüedad marcados para la consecución de un nivel (≥ 80% si  &lt;3 años y  ≥ 95% si  &gt;3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</si>
</sst>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1"/>
      <color theme="1"/>
      <name val="Calibri"/>
      <family val="2"/>
      <scheme val="minor"/>
    </font>
    <font>
      <sz val="9"/>
      <color theme="1"/>
      <name val="Calibri"/>
      <family val="2"/>
      <scheme val="minor"/>
    </font>
    <font>
      <sz val="11"/>
      <name val="Calibri"/>
      <family val="2"/>
      <scheme val="minor"/>
    </font>
    <font>
      <sz val="10"/>
      <name val="Calibri"/>
      <family val="2"/>
      <scheme val="minor"/>
    </font>
    <font>
      <sz val="11"/>
      <name val="Aptos Narrow"/>
      <family val="2"/>
    </font>
    <font>
      <sz val="11"/>
      <name val="Calibri"/>
      <family val="2"/>
    </font>
    <font>
      <sz val="11"/>
      <color theme="1"/>
      <name val="Calibri"/>
      <family val="2"/>
      <scheme val="minor"/>
    </font>
    <font>
      <sz val="8"/>
      <name val="Calibri"/>
      <family val="2"/>
      <scheme val="minor"/>
    </font>
    <font>
      <b/>
      <sz val="11"/>
      <name val="Calibri"/>
      <family val="2"/>
      <scheme val="minor"/>
    </font>
    <font>
      <b/>
      <sz val="11"/>
      <color theme="0"/>
      <name val="Calibri"/>
      <family val="2"/>
      <scheme val="minor"/>
    </font>
    <font>
      <sz val="10"/>
      <color theme="1" tint="0.499984740745262"/>
      <name val="Calibri"/>
      <family val="2"/>
      <scheme val="minor"/>
    </font>
    <font>
      <b/>
      <sz val="10"/>
      <name val="Calibri"/>
      <family val="2"/>
      <scheme val="minor"/>
    </font>
    <font>
      <sz val="8"/>
      <color theme="1" tint="0.499984740745262"/>
      <name val="Calibri"/>
      <family val="2"/>
      <scheme val="minor"/>
    </font>
    <font>
      <b/>
      <sz val="9"/>
      <name val="Calibri"/>
      <family val="2"/>
    </font>
    <font>
      <b/>
      <sz val="9"/>
      <name val="Arial"/>
      <family val="2"/>
    </font>
    <font>
      <sz val="9"/>
      <name val="Arial"/>
      <family val="2"/>
    </font>
    <font>
      <sz val="9"/>
      <name val="Calibri"/>
      <family val="2"/>
    </font>
    <font>
      <b/>
      <sz val="9"/>
      <color theme="1"/>
      <name val="Calibri"/>
      <family val="2"/>
      <scheme val="minor"/>
    </font>
    <font>
      <sz val="9"/>
      <name val="Calibri"/>
      <family val="2"/>
      <scheme val="minor"/>
    </font>
    <font>
      <b/>
      <sz val="13"/>
      <name val="Calibri"/>
      <family val="2"/>
      <scheme val="minor"/>
    </font>
    <font>
      <b/>
      <sz val="8"/>
      <name val="Calibri"/>
      <family val="2"/>
      <scheme val="minor"/>
    </font>
    <font>
      <b/>
      <sz val="9"/>
      <name val="Calibri"/>
      <family val="2"/>
      <scheme val="minor"/>
    </font>
    <font>
      <b/>
      <sz val="16"/>
      <name val="Calibri"/>
      <family val="2"/>
      <scheme val="minor"/>
    </font>
    <font>
      <b/>
      <sz val="9"/>
      <color theme="1" tint="0.499984740745262"/>
      <name val="Calibri"/>
      <family val="2"/>
      <scheme val="minor"/>
    </font>
    <font>
      <sz val="11"/>
      <color theme="1"/>
      <name val="Calibri"/>
      <family val="2"/>
    </font>
    <font>
      <sz val="11"/>
      <color theme="1"/>
      <name val="Aptos Narrow"/>
      <family val="2"/>
    </font>
    <font>
      <sz val="9"/>
      <color indexed="81"/>
      <name val="Tahoma"/>
      <family val="2"/>
    </font>
    <font>
      <b/>
      <sz val="9"/>
      <color indexed="81"/>
      <name val="Tahoma"/>
      <family val="2"/>
    </font>
  </fonts>
  <fills count="16">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2"/>
        <bgColor indexed="64"/>
      </patternFill>
    </fill>
    <fill>
      <patternFill patternType="solid">
        <fgColor theme="1" tint="0.34998626667073579"/>
        <bgColor indexed="64"/>
      </patternFill>
    </fill>
    <fill>
      <patternFill patternType="solid">
        <fgColor theme="1"/>
        <bgColor indexed="64"/>
      </patternFill>
    </fill>
    <fill>
      <patternFill patternType="solid">
        <fgColor theme="7"/>
        <bgColor indexed="64"/>
      </patternFill>
    </fill>
    <fill>
      <patternFill patternType="solid">
        <fgColor theme="5" tint="0.59999389629810485"/>
        <bgColor indexed="64"/>
      </patternFill>
    </fill>
    <fill>
      <patternFill patternType="solid">
        <fgColor theme="5"/>
        <bgColor indexed="64"/>
      </patternFill>
    </fill>
    <fill>
      <patternFill patternType="solid">
        <fgColor theme="6"/>
        <bgColor indexed="64"/>
      </patternFill>
    </fill>
    <fill>
      <patternFill patternType="solid">
        <fgColor theme="2" tint="-9.9978637043366805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193">
    <xf numFmtId="0" fontId="0" fillId="0" borderId="0" xfId="0"/>
    <xf numFmtId="0" fontId="3" fillId="0" borderId="0" xfId="0" applyFont="1" applyAlignment="1">
      <alignment vertical="center" wrapText="1"/>
    </xf>
    <xf numFmtId="0" fontId="3" fillId="0" borderId="0" xfId="0" applyFont="1"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9" fillId="0" borderId="0" xfId="0" applyFont="1" applyAlignment="1">
      <alignment vertical="center" wrapText="1"/>
    </xf>
    <xf numFmtId="0" fontId="3" fillId="0" borderId="0" xfId="0" applyFont="1" applyAlignment="1">
      <alignment horizontal="left" vertical="center"/>
    </xf>
    <xf numFmtId="0" fontId="3" fillId="4" borderId="1" xfId="0" applyFont="1" applyFill="1" applyBorder="1" applyAlignment="1">
      <alignment horizontal="left" vertical="center"/>
    </xf>
    <xf numFmtId="0" fontId="3" fillId="4" borderId="1" xfId="0" applyFont="1" applyFill="1" applyBorder="1" applyAlignment="1">
      <alignment vertical="center"/>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3" borderId="1" xfId="0" applyFont="1" applyFill="1" applyBorder="1" applyAlignment="1">
      <alignment vertical="center" wrapText="1"/>
    </xf>
    <xf numFmtId="0" fontId="0" fillId="3" borderId="1" xfId="0"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3" fillId="6" borderId="1" xfId="0" applyFont="1" applyFill="1" applyBorder="1" applyAlignment="1">
      <alignment vertical="center"/>
    </xf>
    <xf numFmtId="0" fontId="4" fillId="6" borderId="1" xfId="0" applyFont="1" applyFill="1" applyBorder="1" applyAlignment="1">
      <alignment vertical="center" wrapText="1"/>
    </xf>
    <xf numFmtId="0" fontId="0" fillId="6" borderId="1" xfId="0" applyFill="1" applyBorder="1" applyAlignment="1">
      <alignmen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6" borderId="1" xfId="0" applyFill="1" applyBorder="1" applyAlignment="1">
      <alignment wrapText="1"/>
    </xf>
    <xf numFmtId="0" fontId="3" fillId="6" borderId="1" xfId="0" applyFont="1" applyFill="1" applyBorder="1" applyAlignment="1">
      <alignment horizontal="left" vertical="center"/>
    </xf>
    <xf numFmtId="0" fontId="3" fillId="3" borderId="1" xfId="0" applyFont="1" applyFill="1" applyBorder="1" applyAlignment="1">
      <alignment vertical="center" wrapText="1"/>
    </xf>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4" fillId="5" borderId="0" xfId="0" applyFont="1" applyFill="1" applyAlignment="1">
      <alignment vertical="center"/>
    </xf>
    <xf numFmtId="0" fontId="14" fillId="0" borderId="1" xfId="0" applyFont="1" applyBorder="1" applyAlignment="1">
      <alignment vertical="center" wrapText="1"/>
    </xf>
    <xf numFmtId="0" fontId="2" fillId="0" borderId="1" xfId="0" applyFont="1" applyBorder="1"/>
    <xf numFmtId="0" fontId="2" fillId="0" borderId="0" xfId="0" applyFont="1"/>
    <xf numFmtId="0" fontId="15" fillId="0" borderId="1" xfId="0" applyFont="1" applyBorder="1"/>
    <xf numFmtId="0" fontId="16" fillId="0" borderId="1" xfId="0" applyFont="1" applyBorder="1"/>
    <xf numFmtId="0" fontId="17" fillId="0" borderId="1" xfId="0" applyFont="1" applyBorder="1" applyAlignment="1">
      <alignment vertical="center" wrapText="1"/>
    </xf>
    <xf numFmtId="0" fontId="2" fillId="0" borderId="1" xfId="0" applyFont="1" applyBorder="1" applyAlignment="1">
      <alignment horizontal="left" vertical="center"/>
    </xf>
    <xf numFmtId="0" fontId="17" fillId="0" borderId="1" xfId="0" applyFont="1" applyBorder="1" applyAlignment="1">
      <alignment horizontal="left" vertical="center" wrapText="1"/>
    </xf>
    <xf numFmtId="0" fontId="18" fillId="0" borderId="0" xfId="0" applyFont="1"/>
    <xf numFmtId="0" fontId="4" fillId="0" borderId="0" xfId="0" applyFont="1" applyAlignment="1">
      <alignment vertical="center"/>
    </xf>
    <xf numFmtId="0" fontId="4" fillId="8" borderId="17" xfId="0" applyFont="1" applyFill="1" applyBorder="1" applyAlignment="1">
      <alignment vertical="center"/>
    </xf>
    <xf numFmtId="0" fontId="4" fillId="8" borderId="18" xfId="0" applyFont="1" applyFill="1" applyBorder="1" applyAlignment="1">
      <alignment vertical="center"/>
    </xf>
    <xf numFmtId="0" fontId="4" fillId="8" borderId="19" xfId="0" applyFont="1" applyFill="1" applyBorder="1" applyAlignment="1">
      <alignment vertical="center"/>
    </xf>
    <xf numFmtId="0" fontId="4" fillId="8" borderId="20" xfId="0" applyFont="1" applyFill="1" applyBorder="1" applyAlignment="1">
      <alignment vertical="center"/>
    </xf>
    <xf numFmtId="0" fontId="4" fillId="8" borderId="0" xfId="0" applyFont="1" applyFill="1" applyAlignment="1">
      <alignment vertical="center"/>
    </xf>
    <xf numFmtId="0" fontId="4" fillId="8" borderId="16" xfId="0" applyFont="1" applyFill="1" applyBorder="1" applyAlignment="1">
      <alignment vertical="center"/>
    </xf>
    <xf numFmtId="0" fontId="4" fillId="8" borderId="1" xfId="0" applyFont="1" applyFill="1" applyBorder="1" applyAlignment="1">
      <alignment vertical="center"/>
    </xf>
    <xf numFmtId="0" fontId="4" fillId="8" borderId="21" xfId="0" applyFont="1" applyFill="1" applyBorder="1" applyAlignment="1">
      <alignment vertical="center"/>
    </xf>
    <xf numFmtId="0" fontId="11" fillId="8" borderId="0" xfId="0" applyFont="1" applyFill="1" applyAlignment="1">
      <alignment horizontal="left" vertical="center"/>
    </xf>
    <xf numFmtId="0" fontId="4" fillId="8" borderId="0" xfId="0" applyFont="1" applyFill="1" applyAlignment="1">
      <alignment horizontal="center" vertical="center"/>
    </xf>
    <xf numFmtId="0" fontId="4" fillId="8" borderId="1" xfId="0" applyFont="1" applyFill="1" applyBorder="1" applyAlignment="1">
      <alignment horizontal="center" vertical="center"/>
    </xf>
    <xf numFmtId="0" fontId="19" fillId="8" borderId="1" xfId="0" applyFont="1" applyFill="1" applyBorder="1" applyAlignment="1">
      <alignment vertical="center"/>
    </xf>
    <xf numFmtId="0" fontId="13" fillId="8" borderId="1" xfId="0" applyFont="1" applyFill="1" applyBorder="1" applyAlignment="1">
      <alignment horizontal="center" vertical="center"/>
    </xf>
    <xf numFmtId="9" fontId="13" fillId="8" borderId="1" xfId="1" applyFont="1" applyFill="1" applyBorder="1" applyAlignment="1">
      <alignment horizontal="center" vertical="center"/>
    </xf>
    <xf numFmtId="0" fontId="13" fillId="8" borderId="1" xfId="0" applyFont="1" applyFill="1" applyBorder="1" applyAlignment="1">
      <alignment vertical="center"/>
    </xf>
    <xf numFmtId="164" fontId="4" fillId="8" borderId="0" xfId="0" applyNumberFormat="1" applyFont="1" applyFill="1" applyAlignment="1">
      <alignment horizontal="center" vertical="center"/>
    </xf>
    <xf numFmtId="9" fontId="13" fillId="8" borderId="0" xfId="1" applyFont="1" applyFill="1" applyBorder="1" applyAlignment="1">
      <alignment horizontal="center" vertical="center"/>
    </xf>
    <xf numFmtId="0" fontId="13" fillId="8" borderId="0" xfId="0" applyFont="1" applyFill="1" applyAlignment="1">
      <alignment vertical="center"/>
    </xf>
    <xf numFmtId="0" fontId="4" fillId="8" borderId="6" xfId="0" applyFont="1" applyFill="1" applyBorder="1" applyAlignment="1">
      <alignment vertical="center"/>
    </xf>
    <xf numFmtId="0" fontId="4" fillId="8" borderId="23" xfId="0" applyFont="1" applyFill="1" applyBorder="1" applyAlignment="1">
      <alignment vertical="center"/>
    </xf>
    <xf numFmtId="0" fontId="4" fillId="8" borderId="7" xfId="0" applyFont="1" applyFill="1" applyBorder="1" applyAlignment="1">
      <alignment vertical="center"/>
    </xf>
    <xf numFmtId="0" fontId="22" fillId="8" borderId="20" xfId="0" applyFont="1" applyFill="1" applyBorder="1" applyAlignment="1">
      <alignment vertical="center"/>
    </xf>
    <xf numFmtId="0" fontId="19" fillId="8" borderId="1" xfId="0" applyFont="1" applyFill="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19" fillId="0" borderId="1" xfId="0" applyFont="1" applyBorder="1" applyAlignment="1">
      <alignment vertical="center"/>
    </xf>
    <xf numFmtId="164" fontId="24" fillId="0" borderId="1" xfId="0" applyNumberFormat="1" applyFont="1" applyBorder="1" applyAlignment="1">
      <alignment horizontal="center" vertical="center"/>
    </xf>
    <xf numFmtId="0" fontId="24" fillId="0" borderId="1" xfId="0" applyFont="1" applyBorder="1" applyAlignment="1">
      <alignment vertical="center"/>
    </xf>
    <xf numFmtId="164" fontId="24" fillId="0" borderId="1" xfId="0" applyNumberFormat="1" applyFont="1" applyBorder="1" applyAlignment="1">
      <alignment vertical="center"/>
    </xf>
    <xf numFmtId="14" fontId="3" fillId="0" borderId="6" xfId="0" applyNumberFormat="1" applyFont="1" applyBorder="1" applyAlignment="1">
      <alignment horizontal="left" vertical="center"/>
    </xf>
    <xf numFmtId="0" fontId="9" fillId="0" borderId="1" xfId="0" applyFont="1" applyBorder="1" applyAlignment="1">
      <alignment horizontal="center" vertical="center"/>
    </xf>
    <xf numFmtId="0" fontId="2" fillId="0" borderId="1" xfId="0" applyFont="1" applyBorder="1" applyAlignment="1">
      <alignment horizontal="center"/>
    </xf>
    <xf numFmtId="0" fontId="0" fillId="0" borderId="0" xfId="0" applyAlignment="1">
      <alignment horizontal="center"/>
    </xf>
    <xf numFmtId="0" fontId="3" fillId="0" borderId="6" xfId="0" applyFont="1" applyBorder="1" applyAlignment="1">
      <alignment vertical="center"/>
    </xf>
    <xf numFmtId="0" fontId="3" fillId="0" borderId="1" xfId="0" applyFont="1" applyBorder="1" applyAlignment="1">
      <alignment horizontal="center" vertical="center"/>
    </xf>
    <xf numFmtId="0" fontId="11" fillId="8" borderId="6" xfId="0" applyFont="1" applyFill="1" applyBorder="1" applyAlignment="1">
      <alignment vertical="center"/>
    </xf>
    <xf numFmtId="0" fontId="11" fillId="8" borderId="15" xfId="0" applyFont="1" applyFill="1" applyBorder="1" applyAlignment="1">
      <alignment vertical="center"/>
    </xf>
    <xf numFmtId="0" fontId="4" fillId="0" borderId="0" xfId="0" applyFont="1" applyAlignment="1">
      <alignment horizontal="center" vertical="center"/>
    </xf>
    <xf numFmtId="0" fontId="19" fillId="0" borderId="1" xfId="0" applyFont="1" applyBorder="1" applyAlignment="1">
      <alignment horizontal="center" vertical="center"/>
    </xf>
    <xf numFmtId="0" fontId="3" fillId="0" borderId="8" xfId="0" applyFont="1" applyBorder="1" applyAlignment="1">
      <alignment vertical="center"/>
    </xf>
    <xf numFmtId="0" fontId="0" fillId="0" borderId="1" xfId="0" applyBorder="1" applyAlignment="1">
      <alignment horizontal="center"/>
    </xf>
    <xf numFmtId="0" fontId="0" fillId="0" borderId="0" xfId="0" applyAlignment="1">
      <alignment wrapText="1"/>
    </xf>
    <xf numFmtId="164" fontId="4" fillId="8" borderId="1" xfId="0" applyNumberFormat="1" applyFont="1" applyFill="1" applyBorder="1" applyAlignment="1">
      <alignment horizontal="center" vertical="center"/>
    </xf>
    <xf numFmtId="0" fontId="10" fillId="10" borderId="6" xfId="0" applyFont="1" applyFill="1" applyBorder="1" applyAlignment="1">
      <alignment horizontal="center" vertical="center"/>
    </xf>
    <xf numFmtId="0" fontId="10" fillId="10" borderId="15" xfId="0" applyFont="1" applyFill="1" applyBorder="1" applyAlignment="1">
      <alignment horizontal="center" vertical="center"/>
    </xf>
    <xf numFmtId="0" fontId="0" fillId="0" borderId="1" xfId="0" applyBorder="1"/>
    <xf numFmtId="0" fontId="0" fillId="0" borderId="4" xfId="0" applyBorder="1" applyAlignment="1">
      <alignment horizontal="left" vertical="center" wrapText="1"/>
    </xf>
    <xf numFmtId="0" fontId="0" fillId="0" borderId="3" xfId="0" applyBorder="1" applyAlignment="1">
      <alignment horizontal="left" vertical="center" wrapText="1"/>
    </xf>
    <xf numFmtId="0" fontId="3" fillId="0" borderId="0" xfId="0" applyFont="1" applyAlignment="1">
      <alignment horizontal="center" vertical="center"/>
    </xf>
    <xf numFmtId="0" fontId="3" fillId="9" borderId="13" xfId="0" applyFont="1" applyFill="1" applyBorder="1" applyAlignment="1">
      <alignment horizontal="center" vertical="center"/>
    </xf>
    <xf numFmtId="0" fontId="4" fillId="4" borderId="1" xfId="0" applyFont="1" applyFill="1" applyBorder="1" applyAlignment="1">
      <alignment vertical="center" wrapText="1"/>
    </xf>
    <xf numFmtId="0" fontId="4" fillId="6" borderId="1" xfId="0" applyFont="1" applyFill="1" applyBorder="1" applyAlignment="1">
      <alignment vertical="center" wrapText="1"/>
    </xf>
    <xf numFmtId="0" fontId="4" fillId="3" borderId="1" xfId="0" applyFont="1" applyFill="1" applyBorder="1" applyAlignment="1">
      <alignment vertical="center" wrapText="1"/>
    </xf>
    <xf numFmtId="0" fontId="4" fillId="2" borderId="1" xfId="0" applyFont="1" applyFill="1" applyBorder="1" applyAlignment="1">
      <alignment vertical="center" wrapText="1"/>
    </xf>
    <xf numFmtId="0" fontId="11" fillId="8" borderId="15" xfId="0" applyFont="1" applyFill="1" applyBorder="1" applyAlignment="1">
      <alignment horizontal="center" vertical="center"/>
    </xf>
    <xf numFmtId="0" fontId="11" fillId="8" borderId="9" xfId="0" applyFont="1" applyFill="1" applyBorder="1" applyAlignment="1">
      <alignment horizontal="center" vertical="center"/>
    </xf>
    <xf numFmtId="0" fontId="11" fillId="8" borderId="6" xfId="0" applyFont="1" applyFill="1" applyBorder="1" applyAlignment="1">
      <alignment horizontal="center" vertical="center"/>
    </xf>
    <xf numFmtId="0" fontId="22" fillId="8" borderId="6" xfId="0" applyFont="1" applyFill="1" applyBorder="1" applyAlignment="1">
      <alignment horizontal="center" vertical="center"/>
    </xf>
    <xf numFmtId="0" fontId="22" fillId="8" borderId="9" xfId="0" applyFont="1" applyFill="1" applyBorder="1" applyAlignment="1">
      <alignment horizontal="center" vertical="center"/>
    </xf>
    <xf numFmtId="0" fontId="22" fillId="8" borderId="6" xfId="0" applyFont="1" applyFill="1" applyBorder="1" applyAlignment="1">
      <alignment horizontal="left" vertical="center"/>
    </xf>
    <xf numFmtId="0" fontId="22" fillId="8" borderId="15" xfId="0" applyFont="1" applyFill="1" applyBorder="1" applyAlignment="1">
      <alignment horizontal="left" vertical="center"/>
    </xf>
    <xf numFmtId="0" fontId="22" fillId="8" borderId="9" xfId="0" applyFont="1" applyFill="1" applyBorder="1" applyAlignment="1">
      <alignment horizontal="left" vertical="center"/>
    </xf>
    <xf numFmtId="0" fontId="22" fillId="8" borderId="1" xfId="0" applyFont="1" applyFill="1" applyBorder="1" applyAlignment="1">
      <alignment horizontal="center" vertical="center"/>
    </xf>
    <xf numFmtId="0" fontId="4" fillId="8" borderId="20" xfId="0" applyFont="1" applyFill="1" applyBorder="1" applyAlignment="1">
      <alignment horizontal="center" vertical="center"/>
    </xf>
    <xf numFmtId="164" fontId="4" fillId="8" borderId="1" xfId="0" applyNumberFormat="1" applyFont="1" applyFill="1" applyBorder="1" applyAlignment="1">
      <alignment horizontal="center" vertical="center"/>
    </xf>
    <xf numFmtId="9" fontId="13" fillId="8" borderId="1" xfId="1" applyFont="1" applyFill="1" applyBorder="1" applyAlignment="1">
      <alignment horizontal="center" vertical="center"/>
    </xf>
    <xf numFmtId="0" fontId="13" fillId="8" borderId="20" xfId="0" applyFont="1" applyFill="1" applyBorder="1" applyAlignment="1">
      <alignment horizontal="center" vertical="center"/>
    </xf>
    <xf numFmtId="0" fontId="13" fillId="8" borderId="1"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13"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11" xfId="0" applyFont="1" applyFill="1" applyBorder="1" applyAlignment="1">
      <alignment horizontal="center" vertical="center"/>
    </xf>
    <xf numFmtId="0" fontId="13" fillId="8" borderId="8"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0" xfId="0" applyFont="1" applyFill="1" applyBorder="1" applyAlignment="1">
      <alignment horizontal="center" vertical="center"/>
    </xf>
    <xf numFmtId="0" fontId="13" fillId="8" borderId="13"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26"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28"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30" xfId="0" applyFont="1" applyFill="1" applyBorder="1" applyAlignment="1">
      <alignment horizontal="center" vertical="center"/>
    </xf>
    <xf numFmtId="0" fontId="4" fillId="8" borderId="23" xfId="0" applyFont="1" applyFill="1" applyBorder="1" applyAlignment="1">
      <alignment horizontal="center" vertical="center"/>
    </xf>
    <xf numFmtId="0" fontId="4" fillId="8" borderId="27" xfId="0" applyFont="1" applyFill="1" applyBorder="1" applyAlignment="1">
      <alignment horizontal="center" vertical="center"/>
    </xf>
    <xf numFmtId="0" fontId="4" fillId="8" borderId="29" xfId="0" applyFont="1" applyFill="1" applyBorder="1" applyAlignment="1">
      <alignment horizontal="center" vertical="center"/>
    </xf>
    <xf numFmtId="0" fontId="22" fillId="8" borderId="1" xfId="0" applyFont="1" applyFill="1" applyBorder="1" applyAlignment="1">
      <alignment horizontal="left" vertical="center"/>
    </xf>
    <xf numFmtId="0" fontId="12" fillId="8" borderId="25" xfId="0" applyFont="1" applyFill="1" applyBorder="1" applyAlignment="1">
      <alignment horizontal="center" vertical="center"/>
    </xf>
    <xf numFmtId="0" fontId="12" fillId="8" borderId="15" xfId="0" applyFont="1" applyFill="1" applyBorder="1" applyAlignment="1">
      <alignment horizontal="center" vertical="center"/>
    </xf>
    <xf numFmtId="0" fontId="12" fillId="8" borderId="9" xfId="0" applyFont="1" applyFill="1" applyBorder="1" applyAlignment="1">
      <alignment horizontal="center" vertical="center"/>
    </xf>
    <xf numFmtId="0" fontId="4" fillId="8" borderId="25" xfId="0" applyFont="1" applyFill="1" applyBorder="1" applyAlignment="1">
      <alignment horizontal="left" vertical="center"/>
    </xf>
    <xf numFmtId="0" fontId="4" fillId="8" borderId="15" xfId="0" applyFont="1" applyFill="1" applyBorder="1" applyAlignment="1">
      <alignment horizontal="left" vertical="center"/>
    </xf>
    <xf numFmtId="0" fontId="4" fillId="8" borderId="9" xfId="0" applyFont="1" applyFill="1" applyBorder="1" applyAlignment="1">
      <alignment horizontal="left" vertical="center"/>
    </xf>
    <xf numFmtId="14" fontId="11" fillId="8" borderId="6" xfId="0" applyNumberFormat="1" applyFont="1" applyFill="1" applyBorder="1" applyAlignment="1">
      <alignment horizontal="left" vertical="center"/>
    </xf>
    <xf numFmtId="14" fontId="11" fillId="8" borderId="9" xfId="0" applyNumberFormat="1" applyFont="1" applyFill="1" applyBorder="1" applyAlignment="1">
      <alignment horizontal="left" vertical="center"/>
    </xf>
    <xf numFmtId="0" fontId="11" fillId="8" borderId="6" xfId="0" applyFont="1" applyFill="1" applyBorder="1" applyAlignment="1">
      <alignment horizontal="left" vertical="center"/>
    </xf>
    <xf numFmtId="0" fontId="11" fillId="8" borderId="15" xfId="0" applyFont="1" applyFill="1" applyBorder="1" applyAlignment="1">
      <alignment horizontal="left" vertical="center"/>
    </xf>
    <xf numFmtId="0" fontId="4" fillId="8" borderId="20" xfId="0" applyFont="1" applyFill="1" applyBorder="1" applyAlignment="1">
      <alignment horizontal="left" vertical="center" wrapText="1"/>
    </xf>
    <xf numFmtId="0" fontId="20" fillId="8" borderId="25" xfId="0" applyFont="1" applyFill="1" applyBorder="1" applyAlignment="1">
      <alignment horizontal="left" vertical="center"/>
    </xf>
    <xf numFmtId="0" fontId="20" fillId="8" borderId="15" xfId="0" applyFont="1" applyFill="1" applyBorder="1" applyAlignment="1">
      <alignment horizontal="left" vertical="center"/>
    </xf>
    <xf numFmtId="0" fontId="20" fillId="8" borderId="9" xfId="0" applyFont="1" applyFill="1" applyBorder="1" applyAlignment="1">
      <alignment horizontal="left" vertical="center"/>
    </xf>
    <xf numFmtId="0" fontId="20" fillId="8" borderId="24" xfId="0" applyFont="1" applyFill="1" applyBorder="1" applyAlignment="1">
      <alignment horizontal="left" vertical="center"/>
    </xf>
    <xf numFmtId="0" fontId="20" fillId="8" borderId="8" xfId="0" applyFont="1" applyFill="1" applyBorder="1" applyAlignment="1">
      <alignment horizontal="left" vertical="center"/>
    </xf>
    <xf numFmtId="0" fontId="20" fillId="8" borderId="0" xfId="0" applyFont="1" applyFill="1" applyBorder="1" applyAlignment="1">
      <alignment horizontal="left" vertical="center"/>
    </xf>
    <xf numFmtId="0" fontId="4" fillId="8" borderId="13" xfId="0" applyFont="1" applyFill="1" applyBorder="1" applyAlignment="1">
      <alignment vertical="center"/>
    </xf>
    <xf numFmtId="1" fontId="11" fillId="8" borderId="1" xfId="0" applyNumberFormat="1" applyFont="1" applyFill="1" applyBorder="1" applyAlignment="1">
      <alignment horizontal="left" vertical="center"/>
    </xf>
    <xf numFmtId="0" fontId="4" fillId="8" borderId="22" xfId="0" applyFont="1" applyFill="1" applyBorder="1" applyAlignment="1">
      <alignment vertical="center"/>
    </xf>
    <xf numFmtId="0" fontId="4" fillId="8" borderId="1" xfId="0" applyFont="1" applyFill="1" applyBorder="1" applyAlignment="1">
      <alignment vertical="center" wrapText="1"/>
    </xf>
    <xf numFmtId="0" fontId="4" fillId="8" borderId="0" xfId="0" applyFont="1" applyFill="1" applyBorder="1" applyAlignment="1">
      <alignment horizontal="left" vertical="center"/>
    </xf>
    <xf numFmtId="0" fontId="12" fillId="8" borderId="0" xfId="0" applyFont="1" applyFill="1" applyBorder="1" applyAlignment="1">
      <alignment horizontal="center" vertical="center"/>
    </xf>
    <xf numFmtId="0" fontId="22" fillId="8" borderId="0" xfId="0" applyFont="1" applyFill="1" applyBorder="1" applyAlignment="1">
      <alignment horizontal="left" vertical="center"/>
    </xf>
    <xf numFmtId="0" fontId="13" fillId="8" borderId="0" xfId="0" applyFont="1" applyFill="1" applyBorder="1" applyAlignment="1">
      <alignment horizontal="center" vertical="center"/>
    </xf>
    <xf numFmtId="0" fontId="4" fillId="8" borderId="9" xfId="0" applyFont="1" applyFill="1" applyBorder="1" applyAlignment="1">
      <alignment vertical="center"/>
    </xf>
    <xf numFmtId="0" fontId="11" fillId="8" borderId="32" xfId="0" applyFont="1" applyFill="1" applyBorder="1" applyAlignment="1">
      <alignment vertical="center"/>
    </xf>
    <xf numFmtId="0" fontId="11" fillId="8" borderId="32" xfId="0" applyFont="1" applyFill="1" applyBorder="1" applyAlignment="1">
      <alignment horizontal="left" vertical="center"/>
    </xf>
    <xf numFmtId="1" fontId="11" fillId="8" borderId="31" xfId="0" applyNumberFormat="1" applyFont="1" applyFill="1" applyBorder="1" applyAlignment="1">
      <alignment horizontal="left" vertical="center"/>
    </xf>
    <xf numFmtId="0" fontId="19" fillId="8" borderId="1" xfId="0" applyFont="1" applyFill="1" applyBorder="1" applyAlignment="1">
      <alignment horizontal="center" vertical="center"/>
    </xf>
    <xf numFmtId="0" fontId="19" fillId="8" borderId="0" xfId="0" applyFont="1" applyFill="1" applyBorder="1" applyAlignment="1">
      <alignment horizontal="center" vertical="center"/>
    </xf>
    <xf numFmtId="0" fontId="19" fillId="8" borderId="12" xfId="0" applyFont="1" applyFill="1" applyBorder="1" applyAlignment="1">
      <alignment horizontal="center" vertical="center"/>
    </xf>
    <xf numFmtId="0" fontId="19" fillId="8" borderId="8" xfId="0" applyFont="1" applyFill="1" applyBorder="1" applyAlignment="1">
      <alignment horizontal="center" vertical="center"/>
    </xf>
    <xf numFmtId="0" fontId="19" fillId="8" borderId="13" xfId="0" applyFont="1" applyFill="1" applyBorder="1" applyAlignment="1">
      <alignment horizontal="center" vertical="center"/>
    </xf>
    <xf numFmtId="0" fontId="19" fillId="8" borderId="14" xfId="0" applyFont="1" applyFill="1" applyBorder="1" applyAlignment="1">
      <alignment horizontal="center" vertical="center"/>
    </xf>
    <xf numFmtId="1" fontId="3" fillId="0" borderId="1" xfId="0" applyNumberFormat="1" applyFont="1" applyBorder="1" applyAlignment="1">
      <alignment horizontal="left" vertical="center"/>
    </xf>
    <xf numFmtId="0" fontId="23" fillId="0" borderId="12" xfId="0" applyFont="1" applyBorder="1" applyAlignment="1">
      <alignment horizontal="center" vertical="center" wrapText="1"/>
    </xf>
    <xf numFmtId="0" fontId="9" fillId="0" borderId="1" xfId="0" applyFont="1" applyBorder="1" applyAlignment="1">
      <alignment vertical="center"/>
    </xf>
    <xf numFmtId="0" fontId="9" fillId="12" borderId="6" xfId="0" applyFont="1" applyFill="1" applyBorder="1" applyAlignment="1">
      <alignment horizontal="center" vertical="center"/>
    </xf>
    <xf numFmtId="0" fontId="9" fillId="12" borderId="15" xfId="0" applyFont="1" applyFill="1" applyBorder="1" applyAlignment="1">
      <alignment horizontal="center" vertical="center"/>
    </xf>
    <xf numFmtId="0" fontId="9" fillId="7" borderId="6" xfId="0" applyFont="1" applyFill="1" applyBorder="1" applyAlignment="1">
      <alignment horizontal="center" vertical="center"/>
    </xf>
    <xf numFmtId="0" fontId="9" fillId="7" borderId="15" xfId="0" applyFont="1" applyFill="1" applyBorder="1" applyAlignment="1">
      <alignment horizontal="center" vertical="center"/>
    </xf>
    <xf numFmtId="0" fontId="9" fillId="13" borderId="6" xfId="0" applyFont="1" applyFill="1" applyBorder="1" applyAlignment="1">
      <alignment horizontal="center" vertical="center"/>
    </xf>
    <xf numFmtId="0" fontId="9" fillId="13" borderId="15" xfId="0" applyFont="1" applyFill="1" applyBorder="1" applyAlignment="1">
      <alignment horizontal="center" vertical="center"/>
    </xf>
    <xf numFmtId="0" fontId="8" fillId="0" borderId="1" xfId="0" applyFont="1" applyBorder="1" applyAlignment="1">
      <alignment horizontal="center" vertical="center"/>
    </xf>
    <xf numFmtId="0" fontId="9" fillId="11"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2" borderId="1" xfId="0" applyFont="1" applyFill="1" applyBorder="1" applyAlignment="1">
      <alignment horizontal="center" vertical="center"/>
    </xf>
    <xf numFmtId="0" fontId="0" fillId="0" borderId="1" xfId="0" applyBorder="1" applyAlignment="1">
      <alignment vertical="top" wrapText="1"/>
    </xf>
    <xf numFmtId="0" fontId="0" fillId="0" borderId="1" xfId="0" applyBorder="1" applyAlignment="1">
      <alignment wrapText="1"/>
    </xf>
    <xf numFmtId="0" fontId="1" fillId="14"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6" borderId="1" xfId="0" applyFont="1" applyFill="1" applyBorder="1" applyAlignment="1">
      <alignment horizontal="center" wrapText="1"/>
    </xf>
    <xf numFmtId="0" fontId="10" fillId="10" borderId="12" xfId="0" applyFont="1" applyFill="1" applyBorder="1" applyAlignment="1">
      <alignment horizontal="center" vertical="center" textRotation="90" wrapText="1"/>
    </xf>
    <xf numFmtId="0" fontId="1" fillId="11"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0" borderId="2" xfId="0" applyBorder="1" applyAlignment="1">
      <alignment horizontal="left" vertical="center" wrapText="1"/>
    </xf>
  </cellXfs>
  <cellStyles count="2">
    <cellStyle name="Normal" xfId="0" builtinId="0"/>
    <cellStyle name="Porcentaje" xfId="1" builtinId="5"/>
  </cellStyles>
  <dxfs count="10">
    <dxf>
      <font>
        <b/>
        <i val="0"/>
      </font>
      <fill>
        <patternFill>
          <bgColor rgb="FFFFC000"/>
        </patternFill>
      </fill>
    </dxf>
    <dxf>
      <font>
        <b/>
        <i val="0"/>
      </font>
      <fill>
        <patternFill>
          <bgColor theme="7" tint="0.79998168889431442"/>
        </patternFill>
      </fill>
    </dxf>
    <dxf>
      <font>
        <b/>
        <i val="0"/>
      </font>
      <fill>
        <patternFill>
          <bgColor theme="5" tint="0.79998168889431442"/>
        </patternFill>
      </fill>
    </dxf>
    <dxf>
      <font>
        <b/>
        <i val="0"/>
      </font>
      <fill>
        <patternFill>
          <bgColor rgb="FFFFC000"/>
        </patternFill>
      </fill>
    </dxf>
    <dxf>
      <font>
        <b/>
        <i val="0"/>
      </font>
      <fill>
        <patternFill>
          <bgColor theme="7" tint="0.79998168889431442"/>
        </patternFill>
      </fill>
    </dxf>
    <dxf>
      <font>
        <b/>
        <i val="0"/>
      </font>
      <fill>
        <patternFill>
          <bgColor theme="5" tint="0.79998168889431442"/>
        </patternFill>
      </fill>
    </dxf>
    <dxf>
      <font>
        <b/>
        <i val="0"/>
      </font>
      <fill>
        <patternFill>
          <bgColor rgb="FFFFC000"/>
        </patternFill>
      </fill>
    </dxf>
    <dxf>
      <font>
        <b/>
        <i val="0"/>
      </font>
      <fill>
        <patternFill>
          <bgColor theme="7" tint="0.79998168889431442"/>
        </patternFill>
      </fill>
    </dxf>
    <dxf>
      <font>
        <b/>
        <i val="0"/>
      </font>
      <fill>
        <patternFill>
          <bgColor theme="5" tint="0.79998168889431442"/>
        </patternFill>
      </fill>
    </dxf>
    <dxf>
      <font>
        <b/>
        <i val="0"/>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Desempeño en Salud y Prevención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37601481632977696"/>
          <c:y val="0.17630155107980289"/>
          <c:w val="0.62398518367022304"/>
          <c:h val="0.68141779938485958"/>
        </c:manualLayout>
      </c:layout>
      <c:barChart>
        <c:barDir val="bar"/>
        <c:grouping val="stacked"/>
        <c:varyColors val="0"/>
        <c:ser>
          <c:idx val="1"/>
          <c:order val="1"/>
          <c:tx>
            <c:strRef>
              <c:f>'Inf.Trabj 1 (2)'!$D$11</c:f>
              <c:strCache>
                <c:ptCount val="1"/>
                <c:pt idx="0">
                  <c:v>Básico</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'Inf.Trabj 1 (2)'!$B$12:$B$17</c:f>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f>'Inf.Trabj 1 (2)'!$E$12:$E$17</c:f>
              <c:numCache>
                <c:formatCode>0%</c:formatCode>
                <c:ptCount val="6"/>
              </c:numCache>
            </c:numRef>
          </c:val>
          <c:extLst>
            <c:ext xmlns:c16="http://schemas.microsoft.com/office/drawing/2014/chart" uri="{C3380CC4-5D6E-409C-BE32-E72D297353CC}">
              <c16:uniqueId val="{00000000-D8FA-420E-A020-AED8E4A19E5A}"/>
            </c:ext>
          </c:extLst>
        </c:ser>
        <c:ser>
          <c:idx val="3"/>
          <c:order val="3"/>
          <c:tx>
            <c:strRef>
              <c:f>'Inf.Trabj 1 (2)'!$F$11</c:f>
              <c:strCache>
                <c:ptCount val="1"/>
                <c:pt idx="0">
                  <c:v>Experto</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'Inf.Trabj 1 (2)'!$B$12:$B$17</c:f>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f>'Inf.Trabj 1 (2)'!$G$12:$G$17</c:f>
              <c:numCache>
                <c:formatCode>0%</c:formatCode>
                <c:ptCount val="6"/>
              </c:numCache>
            </c:numRef>
          </c:val>
          <c:extLst>
            <c:ext xmlns:c16="http://schemas.microsoft.com/office/drawing/2014/chart" uri="{C3380CC4-5D6E-409C-BE32-E72D297353CC}">
              <c16:uniqueId val="{00000001-D8FA-420E-A020-AED8E4A19E5A}"/>
            </c:ext>
          </c:extLst>
        </c:ser>
        <c:ser>
          <c:idx val="5"/>
          <c:order val="5"/>
          <c:tx>
            <c:strRef>
              <c:f>'Inf.Trabj 1 (2)'!$H$11</c:f>
              <c:strCache>
                <c:ptCount val="1"/>
                <c:pt idx="0">
                  <c:v>Básico</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'Inf.Trabj 1 (2)'!$B$12:$B$17</c:f>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f>'Inf.Trabj 1 (2)'!$I$12:$I$17</c:f>
              <c:numCache>
                <c:formatCode>0%</c:formatCode>
                <c:ptCount val="6"/>
              </c:numCache>
            </c:numRef>
          </c:val>
          <c:extLst>
            <c:ext xmlns:c16="http://schemas.microsoft.com/office/drawing/2014/chart" uri="{C3380CC4-5D6E-409C-BE32-E72D297353CC}">
              <c16:uniqueId val="{00000002-D8FA-420E-A020-AED8E4A19E5A}"/>
            </c:ext>
          </c:extLst>
        </c:ser>
        <c:dLbls>
          <c:dLblPos val="ctr"/>
          <c:showLegendKey val="0"/>
          <c:showVal val="1"/>
          <c:showCatName val="0"/>
          <c:showSerName val="0"/>
          <c:showPercent val="0"/>
          <c:showBubbleSize val="0"/>
        </c:dLbls>
        <c:gapWidth val="150"/>
        <c:overlap val="100"/>
        <c:axId val="726343904"/>
        <c:axId val="726348496"/>
        <c:extLst>
          <c:ext xmlns:c15="http://schemas.microsoft.com/office/drawing/2012/chart" uri="{02D57815-91ED-43cb-92C2-25804820EDAC}">
            <c15:filteredBarSeries>
              <c15:ser>
                <c:idx val="0"/>
                <c:order val="0"/>
                <c:tx>
                  <c:strRef>
                    <c:extLst>
                      <c:ext uri="{02D57815-91ED-43cb-92C2-25804820EDAC}">
                        <c15:formulaRef>
                          <c15:sqref>'Inf.Trabj 1'!#REF!</c15:sqref>
                        </c15:formulaRef>
                      </c:ext>
                    </c:extLst>
                    <c:strCache>
                      <c:ptCount val="1"/>
                      <c:pt idx="0">
                        <c:v>#REF!</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'Inf.Trabj 1 (2)'!$B$12:$B$17</c15:sqref>
                        </c15:formulaRef>
                      </c:ext>
                    </c:extLst>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extLst>
                      <c:ext uri="{02D57815-91ED-43cb-92C2-25804820EDAC}">
                        <c15:formulaRef>
                          <c15:sqref>'Inf.Trabj 1 (2)'!$D$12:$D$17</c15:sqref>
                        </c15:formulaRef>
                      </c:ext>
                    </c:extLst>
                    <c:numCache>
                      <c:formatCode>General</c:formatCode>
                      <c:ptCount val="6"/>
                    </c:numCache>
                  </c:numRef>
                </c:val>
                <c:extLst>
                  <c:ext xmlns:c16="http://schemas.microsoft.com/office/drawing/2014/chart" uri="{C3380CC4-5D6E-409C-BE32-E72D297353CC}">
                    <c16:uniqueId val="{00000003-D8FA-420E-A020-AED8E4A19E5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'Inf.Trabj 1'!#REF!</c15:sqref>
                        </c15:formulaRef>
                      </c:ext>
                    </c:extLst>
                    <c:strCache>
                      <c:ptCount val="1"/>
                      <c:pt idx="0">
                        <c:v>#REF!</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ormulaRef>
                          <c15:sqref>'Inf.Trabj 1 (2)'!$B$12:$B$17</c15:sqref>
                        </c15:formulaRef>
                      </c:ext>
                    </c:extLst>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extLst>
                      <c:ext xmlns:c15="http://schemas.microsoft.com/office/drawing/2012/chart" uri="{02D57815-91ED-43cb-92C2-25804820EDAC}">
                        <c15:formulaRef>
                          <c15:sqref>'Inf.Trabj 1 (2)'!$F$12:$F$17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4-D8FA-420E-A020-AED8E4A19E5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'Inf.Trabj 1'!#REF!</c15:sqref>
                        </c15:formulaRef>
                      </c:ext>
                    </c:extLst>
                    <c:strCache>
                      <c:ptCount val="1"/>
                      <c:pt idx="0">
                        <c:v>#REF!</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ormulaRef>
                          <c15:sqref>'Inf.Trabj 1 (2)'!$B$12:$B$17</c15:sqref>
                        </c15:formulaRef>
                      </c:ext>
                    </c:extLst>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extLst>
                      <c:ext xmlns:c15="http://schemas.microsoft.com/office/drawing/2012/chart" uri="{02D57815-91ED-43cb-92C2-25804820EDAC}">
                        <c15:formulaRef>
                          <c15:sqref>'Inf.Trabj 1 (2)'!$H$12:$H$17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D8FA-420E-A020-AED8E4A19E5A}"/>
                  </c:ext>
                </c:extLst>
              </c15:ser>
            </c15:filteredBarSeries>
            <c15:filteredBarSeries>
              <c15:ser>
                <c:idx val="6"/>
                <c:order val="6"/>
                <c:tx>
                  <c:strRef>
                    <c:extLst>
                      <c:ext xmlns:c15="http://schemas.microsoft.com/office/drawing/2012/chart" uri="{02D57815-91ED-43cb-92C2-25804820EDAC}">
                        <c15:formulaRef>
                          <c15:sqref>'Inf.Trabj 1 (2)'!$K$11</c15:sqref>
                        </c15:formulaRef>
                      </c:ext>
                    </c:extLst>
                    <c:strCache>
                      <c:ptCount val="1"/>
                      <c:pt idx="0">
                        <c:v>Real</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ormulaRef>
                          <c15:sqref>'Inf.Trabj 1 (2)'!$B$12:$B$17</c15:sqref>
                        </c15:formulaRef>
                      </c:ext>
                    </c:extLst>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extLst>
                      <c:ext xmlns:c15="http://schemas.microsoft.com/office/drawing/2012/chart" uri="{02D57815-91ED-43cb-92C2-25804820EDAC}">
                        <c15:formulaRef>
                          <c15:sqref>'Inf.Trabj 1 (2)'!$K$12:$K$17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6-D8FA-420E-A020-AED8E4A19E5A}"/>
                  </c:ext>
                </c:extLst>
              </c15:ser>
            </c15:filteredBarSeries>
            <c15:filteredBarSeries>
              <c15:ser>
                <c:idx val="7"/>
                <c:order val="7"/>
                <c:tx>
                  <c:strRef>
                    <c:extLst>
                      <c:ext xmlns:c15="http://schemas.microsoft.com/office/drawing/2012/chart" uri="{02D57815-91ED-43cb-92C2-25804820EDAC}">
                        <c15:formulaRef>
                          <c15:sqref>'Inf.Trabj 1 (2)'!$L$11</c15:sqref>
                        </c15:formulaRef>
                      </c:ext>
                    </c:extLst>
                    <c:strCache>
                      <c:ptCount val="1"/>
                      <c:pt idx="0">
                        <c:v>Esperado</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ormulaRef>
                          <c15:sqref>'Inf.Trabj 1 (2)'!$B$12:$B$17</c15:sqref>
                        </c15:formulaRef>
                      </c:ext>
                    </c:extLst>
                    <c:strCache>
                      <c:ptCount val="6"/>
                      <c:pt idx="0">
                        <c:v>Estrategia</c:v>
                      </c:pt>
                      <c:pt idx="1">
                        <c:v>Contratas</c:v>
                      </c:pt>
                      <c:pt idx="2">
                        <c:v>Gestión de Riesgos
Plan de Acción</c:v>
                      </c:pt>
                      <c:pt idx="3">
                        <c:v>Gestión de Riesgos dia a dia</c:v>
                      </c:pt>
                      <c:pt idx="4">
                        <c:v>Gestión del Cambio</c:v>
                      </c:pt>
                      <c:pt idx="5">
                        <c:v>Incidentes</c:v>
                      </c:pt>
                    </c:strCache>
                  </c:strRef>
                </c:cat>
                <c:val>
                  <c:numRef>
                    <c:extLst>
                      <c:ext xmlns:c15="http://schemas.microsoft.com/office/drawing/2012/chart" uri="{02D57815-91ED-43cb-92C2-25804820EDAC}">
                        <c15:formulaRef>
                          <c15:sqref>'Inf.Trabj 1 (2)'!$L$12:$L$17</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D8FA-420E-A020-AED8E4A19E5A}"/>
                  </c:ext>
                </c:extLst>
              </c15:ser>
            </c15:filteredBarSeries>
          </c:ext>
        </c:extLst>
      </c:barChart>
      <c:catAx>
        <c:axId val="7263439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ES"/>
          </a:p>
        </c:txPr>
        <c:crossAx val="726348496"/>
        <c:crosses val="autoZero"/>
        <c:auto val="1"/>
        <c:lblAlgn val="ctr"/>
        <c:lblOffset val="100"/>
        <c:noMultiLvlLbl val="0"/>
      </c:catAx>
      <c:valAx>
        <c:axId val="72634849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7263439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280647</xdr:colOff>
      <xdr:row>0</xdr:row>
      <xdr:rowOff>59531</xdr:rowOff>
    </xdr:from>
    <xdr:to>
      <xdr:col>1</xdr:col>
      <xdr:colOff>1161584</xdr:colOff>
      <xdr:row>5</xdr:row>
      <xdr:rowOff>50006</xdr:rowOff>
    </xdr:to>
    <xdr:pic>
      <xdr:nvPicPr>
        <xdr:cNvPr id="2" name="Imagen 1">
          <a:extLst>
            <a:ext uri="{FF2B5EF4-FFF2-40B4-BE49-F238E27FC236}">
              <a16:creationId xmlns:a16="http://schemas.microsoft.com/office/drawing/2014/main" id="{675BA197-49CC-0BB9-065D-AFAD43C18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3616" y="59531"/>
          <a:ext cx="880937" cy="9429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284389</xdr:colOff>
      <xdr:row>6</xdr:row>
      <xdr:rowOff>5442</xdr:rowOff>
    </xdr:from>
    <xdr:to>
      <xdr:col>19</xdr:col>
      <xdr:colOff>617764</xdr:colOff>
      <xdr:row>36</xdr:row>
      <xdr:rowOff>103604</xdr:rowOff>
    </xdr:to>
    <xdr:graphicFrame macro="">
      <xdr:nvGraphicFramePr>
        <xdr:cNvPr id="2" name="Gráfico 1">
          <a:extLst>
            <a:ext uri="{FF2B5EF4-FFF2-40B4-BE49-F238E27FC236}">
              <a16:creationId xmlns:a16="http://schemas.microsoft.com/office/drawing/2014/main" id="{E033AD13-DA53-4B0C-9930-D0087A350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D5E9-0160-4777-B578-B3DF1D0B74DB}">
  <sheetPr>
    <tabColor rgb="FF7030A0"/>
    <pageSetUpPr fitToPage="1"/>
  </sheetPr>
  <dimension ref="A1:G96"/>
  <sheetViews>
    <sheetView tabSelected="1" zoomScale="80" zoomScaleNormal="80" workbookViewId="0">
      <pane ySplit="8" topLeftCell="A9" activePane="bottomLeft" state="frozen"/>
      <selection pane="bottomLeft" activeCell="D39" sqref="D39"/>
    </sheetView>
  </sheetViews>
  <sheetFormatPr baseColWidth="10" defaultColWidth="8.7109375" defaultRowHeight="15" x14ac:dyDescent="0.25"/>
  <cols>
    <col min="1" max="1" width="13.42578125" style="8" customWidth="1"/>
    <col min="2" max="2" width="26.42578125" style="8" customWidth="1"/>
    <col min="3" max="3" width="73.42578125" style="2" customWidth="1"/>
    <col min="4" max="4" width="15.42578125" style="2" customWidth="1"/>
    <col min="5" max="5" width="67.28515625" style="1" customWidth="1"/>
    <col min="6" max="6" width="15" style="1" customWidth="1"/>
    <col min="7" max="7" width="19.42578125" style="2" customWidth="1"/>
    <col min="8" max="13" width="8.7109375" style="2"/>
    <col min="14" max="14" width="27.28515625" style="2" customWidth="1"/>
    <col min="15" max="16384" width="8.7109375" style="2"/>
  </cols>
  <sheetData>
    <row r="1" spans="1:7" ht="15" customHeight="1" x14ac:dyDescent="0.25">
      <c r="A1" s="2"/>
      <c r="B1" s="93"/>
      <c r="C1" s="171" t="s">
        <v>164</v>
      </c>
      <c r="D1" s="50" t="s">
        <v>123</v>
      </c>
      <c r="E1" s="84" t="s">
        <v>161</v>
      </c>
      <c r="F1" s="6" t="s">
        <v>168</v>
      </c>
      <c r="G1" s="6"/>
    </row>
    <row r="2" spans="1:7" ht="15" customHeight="1" x14ac:dyDescent="0.25">
      <c r="A2" s="2"/>
      <c r="B2" s="93"/>
      <c r="C2" s="171"/>
      <c r="D2" s="50" t="s">
        <v>125</v>
      </c>
      <c r="E2" s="78" t="s">
        <v>165</v>
      </c>
      <c r="F2" s="75" t="s">
        <v>166</v>
      </c>
    </row>
    <row r="3" spans="1:7" ht="15" customHeight="1" x14ac:dyDescent="0.25">
      <c r="A3" s="2"/>
      <c r="B3" s="93"/>
      <c r="C3" s="171"/>
      <c r="D3" s="50" t="s">
        <v>127</v>
      </c>
      <c r="E3" s="78" t="s">
        <v>162</v>
      </c>
      <c r="F3" s="79">
        <v>22</v>
      </c>
    </row>
    <row r="4" spans="1:7" ht="15" customHeight="1" x14ac:dyDescent="0.25">
      <c r="A4" s="2"/>
      <c r="B4" s="93"/>
      <c r="C4" s="171"/>
      <c r="D4" s="50" t="s">
        <v>126</v>
      </c>
      <c r="E4" s="78" t="s">
        <v>163</v>
      </c>
      <c r="F4" s="75" t="s">
        <v>167</v>
      </c>
    </row>
    <row r="5" spans="1:7" ht="15" customHeight="1" x14ac:dyDescent="0.25">
      <c r="A5" s="2"/>
      <c r="B5" s="93"/>
      <c r="C5" s="171"/>
      <c r="D5" s="50" t="s">
        <v>160</v>
      </c>
      <c r="E5" s="74">
        <v>45597</v>
      </c>
      <c r="F5" s="79" t="s">
        <v>169</v>
      </c>
    </row>
    <row r="6" spans="1:7" ht="24.75" customHeight="1" x14ac:dyDescent="0.25">
      <c r="A6" s="2"/>
      <c r="B6" s="93"/>
      <c r="C6" s="171"/>
      <c r="D6" s="155" t="s">
        <v>181</v>
      </c>
      <c r="E6" s="170">
        <v>5</v>
      </c>
      <c r="F6" s="79"/>
    </row>
    <row r="7" spans="1:7" x14ac:dyDescent="0.25">
      <c r="A7" s="2"/>
      <c r="B7" s="94"/>
      <c r="C7" s="94"/>
      <c r="D7" s="94"/>
      <c r="E7" s="94"/>
      <c r="F7" s="94"/>
    </row>
    <row r="8" spans="1:7" s="7" customFormat="1" ht="30" x14ac:dyDescent="0.25">
      <c r="A8" s="5" t="s">
        <v>39</v>
      </c>
      <c r="B8" s="5" t="s">
        <v>7</v>
      </c>
      <c r="C8" s="6" t="s">
        <v>8</v>
      </c>
      <c r="D8" s="6" t="s">
        <v>115</v>
      </c>
      <c r="E8" s="6" t="s">
        <v>116</v>
      </c>
      <c r="F8" s="6" t="s">
        <v>119</v>
      </c>
    </row>
    <row r="9" spans="1:7" x14ac:dyDescent="0.25">
      <c r="A9" s="3" t="s">
        <v>111</v>
      </c>
      <c r="B9" s="11" t="s">
        <v>1</v>
      </c>
      <c r="C9" s="98" t="s">
        <v>16</v>
      </c>
      <c r="D9" s="3" t="s">
        <v>117</v>
      </c>
      <c r="E9" s="12" t="s">
        <v>41</v>
      </c>
      <c r="F9" s="12" t="s">
        <v>120</v>
      </c>
    </row>
    <row r="10" spans="1:7" ht="30" x14ac:dyDescent="0.25">
      <c r="A10" s="3" t="s">
        <v>111</v>
      </c>
      <c r="B10" s="11" t="s">
        <v>1</v>
      </c>
      <c r="C10" s="98"/>
      <c r="D10" s="3" t="s">
        <v>117</v>
      </c>
      <c r="E10" s="12" t="s">
        <v>40</v>
      </c>
      <c r="F10" s="12" t="s">
        <v>120</v>
      </c>
    </row>
    <row r="11" spans="1:7" x14ac:dyDescent="0.25">
      <c r="A11" s="3" t="s">
        <v>111</v>
      </c>
      <c r="B11" s="11" t="s">
        <v>1</v>
      </c>
      <c r="C11" s="98"/>
      <c r="D11" s="3" t="s">
        <v>117</v>
      </c>
      <c r="E11" s="12" t="s">
        <v>42</v>
      </c>
      <c r="F11" s="12" t="s">
        <v>120</v>
      </c>
    </row>
    <row r="12" spans="1:7" ht="30" x14ac:dyDescent="0.25">
      <c r="A12" s="3" t="s">
        <v>111</v>
      </c>
      <c r="B12" s="11" t="s">
        <v>1</v>
      </c>
      <c r="C12" s="98"/>
      <c r="D12" s="3" t="s">
        <v>118</v>
      </c>
      <c r="E12" s="12" t="s">
        <v>94</v>
      </c>
      <c r="F12" s="12" t="s">
        <v>120</v>
      </c>
    </row>
    <row r="13" spans="1:7" ht="23.1" customHeight="1" x14ac:dyDescent="0.25">
      <c r="A13" s="4" t="s">
        <v>112</v>
      </c>
      <c r="B13" s="13" t="s">
        <v>1</v>
      </c>
      <c r="C13" s="97" t="s">
        <v>26</v>
      </c>
      <c r="D13" s="4" t="s">
        <v>117</v>
      </c>
      <c r="E13" s="14" t="s">
        <v>48</v>
      </c>
      <c r="F13" s="12" t="s">
        <v>120</v>
      </c>
    </row>
    <row r="14" spans="1:7" ht="30" x14ac:dyDescent="0.25">
      <c r="A14" s="4" t="s">
        <v>112</v>
      </c>
      <c r="B14" s="13" t="s">
        <v>1</v>
      </c>
      <c r="C14" s="97"/>
      <c r="D14" s="4" t="s">
        <v>118</v>
      </c>
      <c r="E14" s="14" t="s">
        <v>86</v>
      </c>
      <c r="F14" s="12" t="s">
        <v>120</v>
      </c>
    </row>
    <row r="15" spans="1:7" x14ac:dyDescent="0.25">
      <c r="A15" s="10" t="s">
        <v>113</v>
      </c>
      <c r="B15" s="15" t="s">
        <v>1</v>
      </c>
      <c r="C15" s="95" t="s">
        <v>17</v>
      </c>
      <c r="D15" s="10" t="s">
        <v>117</v>
      </c>
      <c r="E15" s="16" t="s">
        <v>49</v>
      </c>
      <c r="F15" s="12" t="s">
        <v>120</v>
      </c>
    </row>
    <row r="16" spans="1:7" ht="30" x14ac:dyDescent="0.25">
      <c r="A16" s="10" t="s">
        <v>113</v>
      </c>
      <c r="B16" s="15" t="s">
        <v>1</v>
      </c>
      <c r="C16" s="95"/>
      <c r="D16" s="10" t="s">
        <v>117</v>
      </c>
      <c r="E16" s="16" t="s">
        <v>51</v>
      </c>
      <c r="F16" s="12" t="s">
        <v>120</v>
      </c>
    </row>
    <row r="17" spans="1:6" x14ac:dyDescent="0.25">
      <c r="A17" s="10" t="s">
        <v>113</v>
      </c>
      <c r="B17" s="15" t="s">
        <v>1</v>
      </c>
      <c r="C17" s="95"/>
      <c r="D17" s="10" t="s">
        <v>117</v>
      </c>
      <c r="E17" s="16" t="s">
        <v>50</v>
      </c>
      <c r="F17" s="12" t="s">
        <v>120</v>
      </c>
    </row>
    <row r="18" spans="1:6" x14ac:dyDescent="0.25">
      <c r="A18" s="10" t="s">
        <v>113</v>
      </c>
      <c r="B18" s="15" t="s">
        <v>1</v>
      </c>
      <c r="C18" s="95"/>
      <c r="D18" s="10" t="s">
        <v>118</v>
      </c>
      <c r="E18" s="16" t="s">
        <v>87</v>
      </c>
      <c r="F18" s="12" t="s">
        <v>120</v>
      </c>
    </row>
    <row r="19" spans="1:6" ht="60" x14ac:dyDescent="0.25">
      <c r="A19" s="10" t="s">
        <v>113</v>
      </c>
      <c r="B19" s="15" t="s">
        <v>1</v>
      </c>
      <c r="C19" s="95"/>
      <c r="D19" s="10" t="s">
        <v>118</v>
      </c>
      <c r="E19" s="16" t="s">
        <v>88</v>
      </c>
      <c r="F19" s="12" t="s">
        <v>120</v>
      </c>
    </row>
    <row r="20" spans="1:6" x14ac:dyDescent="0.25">
      <c r="A20" s="10" t="s">
        <v>113</v>
      </c>
      <c r="B20" s="15" t="s">
        <v>1</v>
      </c>
      <c r="C20" s="95"/>
      <c r="D20" s="10" t="s">
        <v>118</v>
      </c>
      <c r="E20" s="16" t="s">
        <v>89</v>
      </c>
      <c r="F20" s="12" t="s">
        <v>120</v>
      </c>
    </row>
    <row r="21" spans="1:6" ht="30" x14ac:dyDescent="0.25">
      <c r="A21" s="17" t="s">
        <v>114</v>
      </c>
      <c r="B21" s="18" t="s">
        <v>1</v>
      </c>
      <c r="C21" s="96" t="s">
        <v>18</v>
      </c>
      <c r="D21" s="17" t="s">
        <v>117</v>
      </c>
      <c r="E21" s="19" t="s">
        <v>53</v>
      </c>
      <c r="F21" s="12" t="s">
        <v>121</v>
      </c>
    </row>
    <row r="22" spans="1:6" ht="30" x14ac:dyDescent="0.25">
      <c r="A22" s="17" t="s">
        <v>114</v>
      </c>
      <c r="B22" s="18" t="s">
        <v>1</v>
      </c>
      <c r="C22" s="96"/>
      <c r="D22" s="17" t="s">
        <v>117</v>
      </c>
      <c r="E22" s="19" t="s">
        <v>52</v>
      </c>
      <c r="F22" s="12" t="s">
        <v>121</v>
      </c>
    </row>
    <row r="23" spans="1:6" ht="78.95" customHeight="1" x14ac:dyDescent="0.25">
      <c r="A23" s="17" t="s">
        <v>114</v>
      </c>
      <c r="B23" s="18" t="s">
        <v>1</v>
      </c>
      <c r="C23" s="96"/>
      <c r="D23" s="17" t="s">
        <v>118</v>
      </c>
      <c r="E23" s="19" t="s">
        <v>91</v>
      </c>
      <c r="F23" s="12" t="s">
        <v>121</v>
      </c>
    </row>
    <row r="24" spans="1:6" ht="30" x14ac:dyDescent="0.25">
      <c r="A24" s="17" t="s">
        <v>114</v>
      </c>
      <c r="B24" s="18" t="s">
        <v>1</v>
      </c>
      <c r="C24" s="96"/>
      <c r="D24" s="17" t="s">
        <v>118</v>
      </c>
      <c r="E24" s="19" t="s">
        <v>90</v>
      </c>
      <c r="F24" s="12" t="s">
        <v>121</v>
      </c>
    </row>
    <row r="25" spans="1:6" x14ac:dyDescent="0.25">
      <c r="A25" s="3" t="s">
        <v>111</v>
      </c>
      <c r="B25" s="11" t="s">
        <v>2</v>
      </c>
      <c r="C25" s="98" t="s">
        <v>24</v>
      </c>
      <c r="D25" s="11" t="s">
        <v>117</v>
      </c>
      <c r="E25" s="12" t="s">
        <v>54</v>
      </c>
      <c r="F25" s="12" t="s">
        <v>120</v>
      </c>
    </row>
    <row r="26" spans="1:6" x14ac:dyDescent="0.25">
      <c r="A26" s="3" t="s">
        <v>111</v>
      </c>
      <c r="B26" s="11" t="s">
        <v>2</v>
      </c>
      <c r="C26" s="98"/>
      <c r="D26" s="11" t="s">
        <v>117</v>
      </c>
      <c r="E26" s="12" t="s">
        <v>55</v>
      </c>
      <c r="F26" s="12" t="s">
        <v>120</v>
      </c>
    </row>
    <row r="27" spans="1:6" x14ac:dyDescent="0.25">
      <c r="A27" s="3" t="s">
        <v>111</v>
      </c>
      <c r="B27" s="11" t="s">
        <v>2</v>
      </c>
      <c r="C27" s="98"/>
      <c r="D27" s="11" t="s">
        <v>118</v>
      </c>
      <c r="E27" s="24" t="s">
        <v>29</v>
      </c>
      <c r="F27" s="12" t="s">
        <v>121</v>
      </c>
    </row>
    <row r="28" spans="1:6" ht="30" x14ac:dyDescent="0.25">
      <c r="A28" s="4" t="s">
        <v>112</v>
      </c>
      <c r="B28" s="13" t="s">
        <v>2</v>
      </c>
      <c r="C28" s="97" t="s">
        <v>28</v>
      </c>
      <c r="D28" s="13" t="s">
        <v>117</v>
      </c>
      <c r="E28" s="25" t="s">
        <v>56</v>
      </c>
      <c r="F28" s="12" t="s">
        <v>122</v>
      </c>
    </row>
    <row r="29" spans="1:6" x14ac:dyDescent="0.25">
      <c r="A29" s="4" t="s">
        <v>112</v>
      </c>
      <c r="B29" s="13" t="s">
        <v>2</v>
      </c>
      <c r="C29" s="97"/>
      <c r="D29" s="13" t="s">
        <v>117</v>
      </c>
      <c r="E29" s="25" t="s">
        <v>57</v>
      </c>
      <c r="F29" s="12" t="s">
        <v>120</v>
      </c>
    </row>
    <row r="30" spans="1:6" ht="30" x14ac:dyDescent="0.25">
      <c r="A30" s="4" t="s">
        <v>112</v>
      </c>
      <c r="B30" s="13" t="s">
        <v>2</v>
      </c>
      <c r="C30" s="97"/>
      <c r="D30" s="13" t="s">
        <v>118</v>
      </c>
      <c r="E30" s="14" t="s">
        <v>30</v>
      </c>
      <c r="F30" s="12" t="s">
        <v>120</v>
      </c>
    </row>
    <row r="31" spans="1:6" ht="39" customHeight="1" x14ac:dyDescent="0.25">
      <c r="A31" s="10" t="s">
        <v>113</v>
      </c>
      <c r="B31" s="15" t="s">
        <v>2</v>
      </c>
      <c r="C31" s="95" t="s">
        <v>23</v>
      </c>
      <c r="D31" s="15" t="s">
        <v>117</v>
      </c>
      <c r="E31" s="26" t="s">
        <v>31</v>
      </c>
      <c r="F31" s="12" t="s">
        <v>120</v>
      </c>
    </row>
    <row r="32" spans="1:6" ht="37.5" customHeight="1" x14ac:dyDescent="0.25">
      <c r="A32" s="10" t="s">
        <v>113</v>
      </c>
      <c r="B32" s="15" t="s">
        <v>2</v>
      </c>
      <c r="C32" s="95"/>
      <c r="D32" s="15" t="s">
        <v>118</v>
      </c>
      <c r="E32" s="26" t="s">
        <v>92</v>
      </c>
      <c r="F32" s="12" t="s">
        <v>120</v>
      </c>
    </row>
    <row r="33" spans="1:6" ht="30" x14ac:dyDescent="0.25">
      <c r="A33" s="17" t="s">
        <v>114</v>
      </c>
      <c r="B33" s="18" t="s">
        <v>2</v>
      </c>
      <c r="C33" s="96" t="s">
        <v>27</v>
      </c>
      <c r="D33" s="18" t="s">
        <v>117</v>
      </c>
      <c r="E33" s="28" t="s">
        <v>59</v>
      </c>
      <c r="F33" s="12" t="s">
        <v>120</v>
      </c>
    </row>
    <row r="34" spans="1:6" ht="30" x14ac:dyDescent="0.25">
      <c r="A34" s="17" t="s">
        <v>114</v>
      </c>
      <c r="B34" s="18" t="s">
        <v>2</v>
      </c>
      <c r="C34" s="96"/>
      <c r="D34" s="18" t="s">
        <v>117</v>
      </c>
      <c r="E34" s="28" t="s">
        <v>58</v>
      </c>
      <c r="F34" s="12" t="s">
        <v>120</v>
      </c>
    </row>
    <row r="35" spans="1:6" ht="45" x14ac:dyDescent="0.25">
      <c r="A35" s="17" t="s">
        <v>114</v>
      </c>
      <c r="B35" s="18" t="s">
        <v>2</v>
      </c>
      <c r="C35" s="96"/>
      <c r="D35" s="18" t="s">
        <v>118</v>
      </c>
      <c r="E35" s="19" t="s">
        <v>93</v>
      </c>
      <c r="F35" s="12" t="s">
        <v>120</v>
      </c>
    </row>
    <row r="36" spans="1:6" ht="24.6" customHeight="1" x14ac:dyDescent="0.25">
      <c r="A36" s="3" t="s">
        <v>111</v>
      </c>
      <c r="B36" s="11" t="s">
        <v>10</v>
      </c>
      <c r="C36" s="98" t="s">
        <v>25</v>
      </c>
      <c r="D36" s="11" t="s">
        <v>117</v>
      </c>
      <c r="E36" s="12" t="s">
        <v>60</v>
      </c>
      <c r="F36" s="12" t="s">
        <v>120</v>
      </c>
    </row>
    <row r="37" spans="1:6" ht="30" x14ac:dyDescent="0.25">
      <c r="A37" s="3" t="s">
        <v>111</v>
      </c>
      <c r="B37" s="11" t="s">
        <v>10</v>
      </c>
      <c r="C37" s="98"/>
      <c r="D37" s="11" t="s">
        <v>118</v>
      </c>
      <c r="E37" s="12" t="s">
        <v>95</v>
      </c>
      <c r="F37" s="12" t="s">
        <v>120</v>
      </c>
    </row>
    <row r="38" spans="1:6" ht="21.6" customHeight="1" x14ac:dyDescent="0.25">
      <c r="A38" s="4" t="s">
        <v>112</v>
      </c>
      <c r="B38" s="13" t="s">
        <v>10</v>
      </c>
      <c r="C38" s="97" t="s">
        <v>33</v>
      </c>
      <c r="D38" s="13" t="s">
        <v>117</v>
      </c>
      <c r="E38" s="14" t="s">
        <v>61</v>
      </c>
      <c r="F38" s="12" t="s">
        <v>120</v>
      </c>
    </row>
    <row r="39" spans="1:6" ht="30" x14ac:dyDescent="0.25">
      <c r="A39" s="4" t="s">
        <v>112</v>
      </c>
      <c r="B39" s="13" t="s">
        <v>10</v>
      </c>
      <c r="C39" s="97"/>
      <c r="D39" s="13" t="s">
        <v>118</v>
      </c>
      <c r="E39" s="30" t="s">
        <v>96</v>
      </c>
      <c r="F39" s="12" t="s">
        <v>120</v>
      </c>
    </row>
    <row r="40" spans="1:6" ht="26.1" customHeight="1" x14ac:dyDescent="0.25">
      <c r="A40" s="10" t="s">
        <v>113</v>
      </c>
      <c r="B40" s="15" t="s">
        <v>10</v>
      </c>
      <c r="C40" s="95" t="s">
        <v>34</v>
      </c>
      <c r="D40" s="15" t="s">
        <v>117</v>
      </c>
      <c r="E40" s="16" t="s">
        <v>62</v>
      </c>
      <c r="F40" s="12" t="s">
        <v>120</v>
      </c>
    </row>
    <row r="41" spans="1:6" ht="30" x14ac:dyDescent="0.25">
      <c r="A41" s="10" t="s">
        <v>113</v>
      </c>
      <c r="B41" s="15" t="s">
        <v>10</v>
      </c>
      <c r="C41" s="95"/>
      <c r="D41" s="15" t="s">
        <v>117</v>
      </c>
      <c r="E41" s="16" t="s">
        <v>63</v>
      </c>
      <c r="F41" s="12" t="s">
        <v>120</v>
      </c>
    </row>
    <row r="42" spans="1:6" ht="30" x14ac:dyDescent="0.25">
      <c r="A42" s="10" t="s">
        <v>113</v>
      </c>
      <c r="B42" s="15" t="s">
        <v>10</v>
      </c>
      <c r="C42" s="95"/>
      <c r="D42" s="15" t="s">
        <v>118</v>
      </c>
      <c r="E42" s="16" t="s">
        <v>97</v>
      </c>
      <c r="F42" s="12" t="s">
        <v>120</v>
      </c>
    </row>
    <row r="43" spans="1:6" ht="29.1" customHeight="1" x14ac:dyDescent="0.25">
      <c r="A43" s="17" t="s">
        <v>114</v>
      </c>
      <c r="B43" s="18" t="s">
        <v>10</v>
      </c>
      <c r="C43" s="96" t="s">
        <v>19</v>
      </c>
      <c r="D43" s="18" t="s">
        <v>117</v>
      </c>
      <c r="E43" s="19" t="s">
        <v>64</v>
      </c>
      <c r="F43" s="12" t="s">
        <v>120</v>
      </c>
    </row>
    <row r="44" spans="1:6" ht="30" x14ac:dyDescent="0.25">
      <c r="A44" s="17" t="s">
        <v>114</v>
      </c>
      <c r="B44" s="18" t="s">
        <v>10</v>
      </c>
      <c r="C44" s="96"/>
      <c r="D44" s="18" t="s">
        <v>117</v>
      </c>
      <c r="E44" s="19" t="s">
        <v>66</v>
      </c>
      <c r="F44" s="12" t="s">
        <v>120</v>
      </c>
    </row>
    <row r="45" spans="1:6" ht="25.5" x14ac:dyDescent="0.25">
      <c r="A45" s="17" t="s">
        <v>114</v>
      </c>
      <c r="B45" s="18" t="s">
        <v>10</v>
      </c>
      <c r="C45" s="96"/>
      <c r="D45" s="18" t="s">
        <v>117</v>
      </c>
      <c r="E45" s="19" t="s">
        <v>65</v>
      </c>
      <c r="F45" s="12" t="s">
        <v>120</v>
      </c>
    </row>
    <row r="46" spans="1:6" ht="45" x14ac:dyDescent="0.25">
      <c r="A46" s="17" t="s">
        <v>114</v>
      </c>
      <c r="B46" s="18" t="s">
        <v>10</v>
      </c>
      <c r="C46" s="96"/>
      <c r="D46" s="18" t="s">
        <v>118</v>
      </c>
      <c r="E46" s="19" t="s">
        <v>98</v>
      </c>
      <c r="F46" s="12" t="s">
        <v>121</v>
      </c>
    </row>
    <row r="47" spans="1:6" ht="65.099999999999994" customHeight="1" x14ac:dyDescent="0.25">
      <c r="A47" s="31" t="s">
        <v>111</v>
      </c>
      <c r="B47" s="22" t="s">
        <v>11</v>
      </c>
      <c r="C47" s="98" t="s">
        <v>35</v>
      </c>
      <c r="D47" s="11" t="s">
        <v>117</v>
      </c>
      <c r="E47" s="12" t="s">
        <v>67</v>
      </c>
      <c r="F47" s="12" t="s">
        <v>120</v>
      </c>
    </row>
    <row r="48" spans="1:6" ht="29.45" customHeight="1" x14ac:dyDescent="0.25">
      <c r="A48" s="31" t="s">
        <v>111</v>
      </c>
      <c r="B48" s="22" t="s">
        <v>11</v>
      </c>
      <c r="C48" s="98"/>
      <c r="D48" s="11" t="s">
        <v>118</v>
      </c>
      <c r="E48" s="12" t="s">
        <v>68</v>
      </c>
      <c r="F48" s="12" t="s">
        <v>120</v>
      </c>
    </row>
    <row r="49" spans="1:6" ht="56.1" customHeight="1" x14ac:dyDescent="0.25">
      <c r="A49" s="32" t="s">
        <v>112</v>
      </c>
      <c r="B49" s="20" t="s">
        <v>11</v>
      </c>
      <c r="C49" s="97" t="s">
        <v>20</v>
      </c>
      <c r="D49" s="13" t="s">
        <v>117</v>
      </c>
      <c r="E49" s="14" t="s">
        <v>69</v>
      </c>
      <c r="F49" s="12" t="s">
        <v>120</v>
      </c>
    </row>
    <row r="50" spans="1:6" ht="43.5" customHeight="1" x14ac:dyDescent="0.25">
      <c r="A50" s="32" t="s">
        <v>112</v>
      </c>
      <c r="B50" s="20" t="s">
        <v>11</v>
      </c>
      <c r="C50" s="97"/>
      <c r="D50" s="13" t="s">
        <v>118</v>
      </c>
      <c r="E50" s="14" t="s">
        <v>99</v>
      </c>
      <c r="F50" s="12" t="s">
        <v>120</v>
      </c>
    </row>
    <row r="51" spans="1:6" ht="72" customHeight="1" x14ac:dyDescent="0.25">
      <c r="A51" s="9" t="s">
        <v>113</v>
      </c>
      <c r="B51" s="21" t="s">
        <v>11</v>
      </c>
      <c r="C51" s="95" t="s">
        <v>36</v>
      </c>
      <c r="D51" s="15" t="s">
        <v>117</v>
      </c>
      <c r="E51" s="16" t="s">
        <v>70</v>
      </c>
      <c r="F51" s="12" t="s">
        <v>120</v>
      </c>
    </row>
    <row r="52" spans="1:6" ht="30" x14ac:dyDescent="0.25">
      <c r="A52" s="9" t="s">
        <v>113</v>
      </c>
      <c r="B52" s="21" t="s">
        <v>11</v>
      </c>
      <c r="C52" s="95"/>
      <c r="D52" s="15" t="s">
        <v>117</v>
      </c>
      <c r="E52" s="16" t="s">
        <v>71</v>
      </c>
      <c r="F52" s="12" t="s">
        <v>120</v>
      </c>
    </row>
    <row r="53" spans="1:6" ht="25.5" x14ac:dyDescent="0.25">
      <c r="A53" s="9" t="s">
        <v>113</v>
      </c>
      <c r="B53" s="21" t="s">
        <v>11</v>
      </c>
      <c r="C53" s="95"/>
      <c r="D53" s="15" t="s">
        <v>117</v>
      </c>
      <c r="E53" s="16" t="s">
        <v>72</v>
      </c>
      <c r="F53" s="12" t="s">
        <v>120</v>
      </c>
    </row>
    <row r="54" spans="1:6" ht="55.5" customHeight="1" x14ac:dyDescent="0.25">
      <c r="A54" s="9" t="s">
        <v>113</v>
      </c>
      <c r="B54" s="21" t="s">
        <v>11</v>
      </c>
      <c r="C54" s="95"/>
      <c r="D54" s="15" t="s">
        <v>118</v>
      </c>
      <c r="E54" s="16" t="s">
        <v>100</v>
      </c>
      <c r="F54" s="12" t="s">
        <v>120</v>
      </c>
    </row>
    <row r="55" spans="1:6" ht="51.6" customHeight="1" x14ac:dyDescent="0.25">
      <c r="A55" s="29" t="s">
        <v>114</v>
      </c>
      <c r="B55" s="23" t="s">
        <v>11</v>
      </c>
      <c r="C55" s="96" t="s">
        <v>37</v>
      </c>
      <c r="D55" s="18" t="s">
        <v>117</v>
      </c>
      <c r="E55" s="19" t="s">
        <v>74</v>
      </c>
      <c r="F55" s="12" t="s">
        <v>120</v>
      </c>
    </row>
    <row r="56" spans="1:6" ht="30" x14ac:dyDescent="0.25">
      <c r="A56" s="29" t="s">
        <v>114</v>
      </c>
      <c r="B56" s="23" t="s">
        <v>11</v>
      </c>
      <c r="C56" s="96"/>
      <c r="D56" s="18" t="s">
        <v>117</v>
      </c>
      <c r="E56" s="19" t="s">
        <v>73</v>
      </c>
      <c r="F56" s="12" t="s">
        <v>120</v>
      </c>
    </row>
    <row r="57" spans="1:6" ht="90" x14ac:dyDescent="0.25">
      <c r="A57" s="29" t="s">
        <v>114</v>
      </c>
      <c r="B57" s="23" t="s">
        <v>11</v>
      </c>
      <c r="C57" s="96"/>
      <c r="D57" s="18" t="s">
        <v>118</v>
      </c>
      <c r="E57" s="19" t="s">
        <v>101</v>
      </c>
      <c r="F57" s="12" t="s">
        <v>120</v>
      </c>
    </row>
    <row r="58" spans="1:6" ht="39.6" customHeight="1" x14ac:dyDescent="0.25">
      <c r="A58" s="31" t="s">
        <v>111</v>
      </c>
      <c r="B58" s="22" t="s">
        <v>3</v>
      </c>
      <c r="C58" s="98" t="s">
        <v>12</v>
      </c>
      <c r="D58" s="11" t="s">
        <v>117</v>
      </c>
      <c r="E58" s="12" t="s">
        <v>75</v>
      </c>
      <c r="F58" s="12" t="s">
        <v>122</v>
      </c>
    </row>
    <row r="59" spans="1:6" ht="30" x14ac:dyDescent="0.25">
      <c r="A59" s="31" t="s">
        <v>111</v>
      </c>
      <c r="B59" s="22" t="s">
        <v>3</v>
      </c>
      <c r="C59" s="98"/>
      <c r="D59" s="11" t="s">
        <v>118</v>
      </c>
      <c r="E59" s="24" t="s">
        <v>102</v>
      </c>
      <c r="F59" s="12" t="s">
        <v>120</v>
      </c>
    </row>
    <row r="60" spans="1:6" ht="65.45" customHeight="1" x14ac:dyDescent="0.25">
      <c r="A60" s="32" t="s">
        <v>112</v>
      </c>
      <c r="B60" s="20" t="s">
        <v>3</v>
      </c>
      <c r="C60" s="97" t="s">
        <v>22</v>
      </c>
      <c r="D60" s="13" t="s">
        <v>117</v>
      </c>
      <c r="E60" s="14" t="s">
        <v>77</v>
      </c>
      <c r="F60" s="12" t="s">
        <v>120</v>
      </c>
    </row>
    <row r="61" spans="1:6" ht="30" x14ac:dyDescent="0.25">
      <c r="A61" s="32" t="s">
        <v>112</v>
      </c>
      <c r="B61" s="20" t="s">
        <v>3</v>
      </c>
      <c r="C61" s="97"/>
      <c r="D61" s="13" t="s">
        <v>117</v>
      </c>
      <c r="E61" s="14" t="s">
        <v>76</v>
      </c>
      <c r="F61" s="12" t="s">
        <v>120</v>
      </c>
    </row>
    <row r="62" spans="1:6" ht="30" x14ac:dyDescent="0.25">
      <c r="A62" s="32" t="s">
        <v>112</v>
      </c>
      <c r="B62" s="20" t="s">
        <v>3</v>
      </c>
      <c r="C62" s="97"/>
      <c r="D62" s="13" t="s">
        <v>118</v>
      </c>
      <c r="E62" s="14" t="s">
        <v>105</v>
      </c>
      <c r="F62" s="12" t="s">
        <v>122</v>
      </c>
    </row>
    <row r="63" spans="1:6" ht="104.1" customHeight="1" x14ac:dyDescent="0.25">
      <c r="A63" s="9" t="s">
        <v>113</v>
      </c>
      <c r="B63" s="21" t="s">
        <v>3</v>
      </c>
      <c r="C63" s="95" t="s">
        <v>32</v>
      </c>
      <c r="D63" s="15" t="s">
        <v>117</v>
      </c>
      <c r="E63" s="16" t="s">
        <v>78</v>
      </c>
      <c r="F63" s="12" t="s">
        <v>122</v>
      </c>
    </row>
    <row r="64" spans="1:6" ht="60" x14ac:dyDescent="0.25">
      <c r="A64" s="9" t="s">
        <v>113</v>
      </c>
      <c r="B64" s="21" t="s">
        <v>3</v>
      </c>
      <c r="C64" s="95"/>
      <c r="D64" s="15" t="s">
        <v>117</v>
      </c>
      <c r="E64" s="16" t="s">
        <v>79</v>
      </c>
      <c r="F64" s="12" t="s">
        <v>121</v>
      </c>
    </row>
    <row r="65" spans="1:6" ht="90.95" customHeight="1" x14ac:dyDescent="0.25">
      <c r="A65" s="29" t="s">
        <v>114</v>
      </c>
      <c r="B65" s="23" t="s">
        <v>3</v>
      </c>
      <c r="C65" s="96" t="s">
        <v>21</v>
      </c>
      <c r="D65" s="18" t="s">
        <v>117</v>
      </c>
      <c r="E65" s="19" t="s">
        <v>103</v>
      </c>
      <c r="F65" s="12" t="s">
        <v>121</v>
      </c>
    </row>
    <row r="66" spans="1:6" ht="30" x14ac:dyDescent="0.25">
      <c r="A66" s="29" t="s">
        <v>114</v>
      </c>
      <c r="B66" s="23" t="s">
        <v>3</v>
      </c>
      <c r="C66" s="96"/>
      <c r="D66" s="18" t="s">
        <v>117</v>
      </c>
      <c r="E66" s="19" t="s">
        <v>104</v>
      </c>
      <c r="F66" s="12" t="s">
        <v>120</v>
      </c>
    </row>
    <row r="67" spans="1:6" ht="30" x14ac:dyDescent="0.25">
      <c r="A67" s="29" t="s">
        <v>114</v>
      </c>
      <c r="B67" s="23" t="s">
        <v>3</v>
      </c>
      <c r="C67" s="96"/>
      <c r="D67" s="18" t="s">
        <v>118</v>
      </c>
      <c r="E67" s="19" t="s">
        <v>106</v>
      </c>
      <c r="F67" s="12" t="s">
        <v>120</v>
      </c>
    </row>
    <row r="68" spans="1:6" ht="25.5" x14ac:dyDescent="0.25">
      <c r="A68" s="31" t="s">
        <v>111</v>
      </c>
      <c r="B68" s="22" t="s">
        <v>9</v>
      </c>
      <c r="C68" s="98" t="s">
        <v>13</v>
      </c>
      <c r="D68" s="11" t="s">
        <v>117</v>
      </c>
      <c r="E68" s="24" t="s">
        <v>80</v>
      </c>
      <c r="F68" s="12" t="s">
        <v>120</v>
      </c>
    </row>
    <row r="69" spans="1:6" ht="25.5" x14ac:dyDescent="0.25">
      <c r="A69" s="31" t="s">
        <v>111</v>
      </c>
      <c r="B69" s="22" t="s">
        <v>9</v>
      </c>
      <c r="C69" s="98"/>
      <c r="D69" s="11" t="s">
        <v>118</v>
      </c>
      <c r="E69" s="24" t="s">
        <v>107</v>
      </c>
      <c r="F69" s="12" t="s">
        <v>120</v>
      </c>
    </row>
    <row r="70" spans="1:6" ht="51.95" customHeight="1" x14ac:dyDescent="0.25">
      <c r="A70" s="32" t="s">
        <v>112</v>
      </c>
      <c r="B70" s="20" t="s">
        <v>9</v>
      </c>
      <c r="C70" s="97" t="s">
        <v>14</v>
      </c>
      <c r="D70" s="13" t="s">
        <v>117</v>
      </c>
      <c r="E70" s="25" t="s">
        <v>81</v>
      </c>
      <c r="F70" s="12" t="s">
        <v>120</v>
      </c>
    </row>
    <row r="71" spans="1:6" ht="60" x14ac:dyDescent="0.25">
      <c r="A71" s="32" t="s">
        <v>112</v>
      </c>
      <c r="B71" s="20" t="s">
        <v>9</v>
      </c>
      <c r="C71" s="97"/>
      <c r="D71" s="13" t="s">
        <v>118</v>
      </c>
      <c r="E71" s="14" t="s">
        <v>109</v>
      </c>
      <c r="F71" s="12" t="s">
        <v>120</v>
      </c>
    </row>
    <row r="72" spans="1:6" ht="104.1" customHeight="1" x14ac:dyDescent="0.25">
      <c r="A72" s="9" t="s">
        <v>113</v>
      </c>
      <c r="B72" s="21" t="s">
        <v>9</v>
      </c>
      <c r="C72" s="95" t="s">
        <v>38</v>
      </c>
      <c r="D72" s="15" t="s">
        <v>117</v>
      </c>
      <c r="E72" s="16" t="s">
        <v>82</v>
      </c>
      <c r="F72" s="12" t="s">
        <v>120</v>
      </c>
    </row>
    <row r="73" spans="1:6" ht="30" x14ac:dyDescent="0.25">
      <c r="A73" s="9" t="s">
        <v>113</v>
      </c>
      <c r="B73" s="21" t="s">
        <v>9</v>
      </c>
      <c r="C73" s="95"/>
      <c r="D73" s="15" t="s">
        <v>117</v>
      </c>
      <c r="E73" s="27" t="s">
        <v>83</v>
      </c>
      <c r="F73" s="12" t="s">
        <v>120</v>
      </c>
    </row>
    <row r="74" spans="1:6" ht="45" x14ac:dyDescent="0.25">
      <c r="A74" s="9" t="s">
        <v>113</v>
      </c>
      <c r="B74" s="21" t="s">
        <v>9</v>
      </c>
      <c r="C74" s="95"/>
      <c r="D74" s="15" t="s">
        <v>118</v>
      </c>
      <c r="E74" s="26" t="s">
        <v>110</v>
      </c>
      <c r="F74" s="12" t="s">
        <v>120</v>
      </c>
    </row>
    <row r="75" spans="1:6" ht="104.45" customHeight="1" x14ac:dyDescent="0.25">
      <c r="A75" s="29" t="s">
        <v>114</v>
      </c>
      <c r="B75" s="23" t="s">
        <v>9</v>
      </c>
      <c r="C75" s="96" t="s">
        <v>15</v>
      </c>
      <c r="D75" s="18" t="s">
        <v>117</v>
      </c>
      <c r="E75" s="28" t="s">
        <v>85</v>
      </c>
      <c r="F75" s="12" t="s">
        <v>120</v>
      </c>
    </row>
    <row r="76" spans="1:6" ht="25.5" x14ac:dyDescent="0.25">
      <c r="A76" s="29" t="s">
        <v>114</v>
      </c>
      <c r="B76" s="23" t="s">
        <v>9</v>
      </c>
      <c r="C76" s="96"/>
      <c r="D76" s="17" t="s">
        <v>117</v>
      </c>
      <c r="E76" s="28" t="s">
        <v>84</v>
      </c>
      <c r="F76" s="12" t="s">
        <v>120</v>
      </c>
    </row>
    <row r="77" spans="1:6" ht="30" x14ac:dyDescent="0.25">
      <c r="A77" s="29" t="s">
        <v>114</v>
      </c>
      <c r="B77" s="23" t="s">
        <v>9</v>
      </c>
      <c r="C77" s="96"/>
      <c r="D77" s="17" t="s">
        <v>118</v>
      </c>
      <c r="E77" s="28" t="s">
        <v>108</v>
      </c>
      <c r="F77" s="12" t="s">
        <v>120</v>
      </c>
    </row>
    <row r="85" spans="1:2" x14ac:dyDescent="0.25">
      <c r="A85" s="8" t="s">
        <v>43</v>
      </c>
      <c r="B85" s="8" t="e">
        <f>SUMIF(A:A,"01 Inicial",#REF!)</f>
        <v>#REF!</v>
      </c>
    </row>
    <row r="86" spans="1:2" x14ac:dyDescent="0.25">
      <c r="A86" s="8" t="s">
        <v>44</v>
      </c>
      <c r="B86" s="8" t="e">
        <f>SUMIF(A:A,"02 Básico",#REF!)</f>
        <v>#REF!</v>
      </c>
    </row>
    <row r="87" spans="1:2" x14ac:dyDescent="0.25">
      <c r="A87" s="8" t="s">
        <v>45</v>
      </c>
      <c r="B87" s="8" t="e">
        <f>SUMIF(A:A,"03 Avanzado",#REF!)</f>
        <v>#REF!</v>
      </c>
    </row>
    <row r="88" spans="1:2" x14ac:dyDescent="0.25">
      <c r="A88" s="8" t="s">
        <v>46</v>
      </c>
      <c r="B88" s="8" t="e">
        <f>SUMIF(A:A,"04 Experto",#REF!)</f>
        <v>#REF!</v>
      </c>
    </row>
    <row r="89" spans="1:2" x14ac:dyDescent="0.25">
      <c r="B89" s="8" t="e">
        <f>SUBTOTAL(9,B85:B88)</f>
        <v>#REF!</v>
      </c>
    </row>
    <row r="92" spans="1:2" x14ac:dyDescent="0.25">
      <c r="A92" s="8" t="s">
        <v>43</v>
      </c>
      <c r="B92" s="8" t="e">
        <f>SUMIF(A:A,"01 Inicial",(#REF!))</f>
        <v>#REF!</v>
      </c>
    </row>
    <row r="93" spans="1:2" x14ac:dyDescent="0.25">
      <c r="A93" s="8" t="s">
        <v>44</v>
      </c>
      <c r="B93" s="8" t="e">
        <f>SUMIF(A:A,"02 Básico",(#REF!))</f>
        <v>#REF!</v>
      </c>
    </row>
    <row r="94" spans="1:2" x14ac:dyDescent="0.25">
      <c r="A94" s="8" t="s">
        <v>45</v>
      </c>
      <c r="B94" s="8" t="e">
        <f>SUMIF(A:A,"03 Avanzado",(#REF!))</f>
        <v>#REF!</v>
      </c>
    </row>
    <row r="95" spans="1:2" x14ac:dyDescent="0.25">
      <c r="A95" s="8" t="s">
        <v>46</v>
      </c>
      <c r="B95" s="8" t="e">
        <f>SUMIF(A:A,"04 Experto",(#REF!))</f>
        <v>#REF!</v>
      </c>
    </row>
    <row r="96" spans="1:2" x14ac:dyDescent="0.25">
      <c r="B96" s="8" t="e">
        <f>SUM(B92:B95)</f>
        <v>#REF!</v>
      </c>
    </row>
  </sheetData>
  <autoFilter ref="A8:F78" xr:uid="{ABE6D5E9-0160-4777-B578-B3DF1D0B74DB}"/>
  <sortState xmlns:xlrd2="http://schemas.microsoft.com/office/spreadsheetml/2017/richdata2" ref="A9:C75">
    <sortCondition ref="B9:B75"/>
    <sortCondition ref="A9:A75"/>
  </sortState>
  <mergeCells count="27">
    <mergeCell ref="C1:C6"/>
    <mergeCell ref="B1:B6"/>
    <mergeCell ref="C13:C14"/>
    <mergeCell ref="C15:C20"/>
    <mergeCell ref="C9:C12"/>
    <mergeCell ref="C21:C24"/>
    <mergeCell ref="C25:C27"/>
    <mergeCell ref="C38:C39"/>
    <mergeCell ref="C40:C42"/>
    <mergeCell ref="C33:C35"/>
    <mergeCell ref="C28:C30"/>
    <mergeCell ref="C31:C32"/>
    <mergeCell ref="C36:C37"/>
    <mergeCell ref="B7:F7"/>
    <mergeCell ref="C72:C74"/>
    <mergeCell ref="C75:C77"/>
    <mergeCell ref="C60:C62"/>
    <mergeCell ref="C63:C64"/>
    <mergeCell ref="C65:C67"/>
    <mergeCell ref="C68:C69"/>
    <mergeCell ref="C70:C71"/>
    <mergeCell ref="C47:C48"/>
    <mergeCell ref="C49:C50"/>
    <mergeCell ref="C51:C54"/>
    <mergeCell ref="C55:C57"/>
    <mergeCell ref="C58:C59"/>
    <mergeCell ref="C43:C46"/>
  </mergeCells>
  <phoneticPr fontId="8" type="noConversion"/>
  <pageMargins left="0.25" right="0.25" top="0.75" bottom="0.75" header="0.3" footer="0.3"/>
  <pageSetup paperSize="8" scale="46"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C5920FD-25A8-48B6-839E-F0F5A5AFB8D4}">
          <x14:formula1>
            <xm:f>'Listas cerradas'!$H$2:$H$4</xm:f>
          </x14:formula1>
          <xm:sqref>F7:F1048576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5B9B-DFC4-4B68-A696-4518AE89B0CC}">
  <dimension ref="A1:K4"/>
  <sheetViews>
    <sheetView workbookViewId="0">
      <selection activeCell="C7" sqref="C7"/>
    </sheetView>
  </sheetViews>
  <sheetFormatPr baseColWidth="10" defaultRowHeight="15" x14ac:dyDescent="0.25"/>
  <cols>
    <col min="1" max="1" width="6.140625" customWidth="1"/>
    <col min="2" max="2" width="16.42578125" customWidth="1"/>
    <col min="3" max="3" width="125.28515625" style="86" customWidth="1"/>
    <col min="4" max="4" width="77" style="86" customWidth="1"/>
    <col min="5" max="5" width="81.85546875" style="86" customWidth="1"/>
    <col min="6" max="11" width="11.42578125" style="86"/>
  </cols>
  <sheetData>
    <row r="1" spans="1:5" x14ac:dyDescent="0.25">
      <c r="C1" s="186" t="s">
        <v>198</v>
      </c>
      <c r="D1" s="185" t="s">
        <v>197</v>
      </c>
      <c r="E1" s="187" t="s">
        <v>196</v>
      </c>
    </row>
    <row r="2" spans="1:5" ht="135" x14ac:dyDescent="0.25">
      <c r="A2" s="188" t="s">
        <v>199</v>
      </c>
      <c r="B2" s="189" t="s">
        <v>200</v>
      </c>
      <c r="C2" s="183" t="s">
        <v>203</v>
      </c>
      <c r="D2" s="183" t="s">
        <v>179</v>
      </c>
      <c r="E2" s="192" t="s">
        <v>180</v>
      </c>
    </row>
    <row r="3" spans="1:5" ht="30" x14ac:dyDescent="0.25">
      <c r="A3" s="188"/>
      <c r="B3" s="190" t="s">
        <v>201</v>
      </c>
      <c r="C3" s="184" t="s">
        <v>204</v>
      </c>
      <c r="D3" s="184" t="s">
        <v>172</v>
      </c>
      <c r="E3" s="91"/>
    </row>
    <row r="4" spans="1:5" ht="150" x14ac:dyDescent="0.25">
      <c r="A4" s="188"/>
      <c r="B4" s="191" t="s">
        <v>202</v>
      </c>
      <c r="C4" s="184" t="s">
        <v>205</v>
      </c>
      <c r="D4" s="183" t="s">
        <v>173</v>
      </c>
      <c r="E4" s="92"/>
    </row>
  </sheetData>
  <mergeCells count="2">
    <mergeCell ref="A2:A4"/>
    <mergeCell ref="E2: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AE9B-A386-4AC7-907F-8107BE5DA21C}">
  <sheetPr>
    <tabColor rgb="FFFFC000"/>
    <pageSetUpPr fitToPage="1"/>
  </sheetPr>
  <dimension ref="A1:BD42"/>
  <sheetViews>
    <sheetView zoomScale="110" zoomScaleNormal="110" workbookViewId="0">
      <selection activeCell="K4" sqref="K4"/>
    </sheetView>
  </sheetViews>
  <sheetFormatPr baseColWidth="10" defaultColWidth="11.42578125" defaultRowHeight="12.75" x14ac:dyDescent="0.25"/>
  <cols>
    <col min="1" max="1" width="13.7109375" style="43" customWidth="1"/>
    <col min="2" max="2" width="27.5703125" style="43" customWidth="1"/>
    <col min="3" max="3" width="6.85546875" style="43" customWidth="1"/>
    <col min="4" max="4" width="7.28515625" style="43" customWidth="1"/>
    <col min="5" max="5" width="8.42578125" style="43" customWidth="1"/>
    <col min="6" max="8" width="7.28515625" style="43" customWidth="1"/>
    <col min="9" max="9" width="8.7109375" style="43" customWidth="1"/>
    <col min="10" max="10" width="7.28515625" style="43" customWidth="1"/>
    <col min="11" max="13" width="10.7109375" style="43" customWidth="1"/>
    <col min="14" max="16384" width="11.42578125" style="43"/>
  </cols>
  <sheetData>
    <row r="1" spans="1:56" ht="13.5" thickBot="1" x14ac:dyDescent="0.3"/>
    <row r="2" spans="1:56" x14ac:dyDescent="0.25">
      <c r="A2" s="44"/>
      <c r="B2" s="45"/>
      <c r="C2" s="45"/>
      <c r="D2" s="45"/>
      <c r="E2" s="45"/>
      <c r="F2" s="45"/>
      <c r="G2" s="45"/>
      <c r="H2" s="45"/>
      <c r="I2" s="45"/>
      <c r="J2" s="45"/>
      <c r="K2" s="45"/>
      <c r="L2" s="45"/>
      <c r="M2" s="45"/>
      <c r="N2" s="45"/>
      <c r="O2" s="45"/>
      <c r="P2" s="45"/>
      <c r="Q2" s="45"/>
      <c r="R2" s="45"/>
      <c r="S2" s="45"/>
      <c r="T2" s="46"/>
    </row>
    <row r="3" spans="1:56" x14ac:dyDescent="0.25">
      <c r="A3" s="47" t="s">
        <v>123</v>
      </c>
      <c r="B3" s="80" t="str">
        <f>+'Evaluación SyP'!E1</f>
        <v>Pepe Pérez</v>
      </c>
      <c r="C3" s="81"/>
      <c r="D3" s="161"/>
      <c r="E3" s="160" t="s">
        <v>193</v>
      </c>
      <c r="F3" s="101" t="str">
        <f>+'Evaluación SyP'!F1</f>
        <v>Línea de Mando</v>
      </c>
      <c r="G3" s="100"/>
      <c r="H3" s="48"/>
      <c r="I3" s="48"/>
      <c r="J3" s="48"/>
      <c r="K3" s="48"/>
      <c r="L3" s="48"/>
      <c r="M3" s="48"/>
      <c r="N3" s="48"/>
      <c r="O3" s="48"/>
      <c r="P3" s="48"/>
      <c r="Q3" s="48"/>
      <c r="R3" s="48"/>
      <c r="S3" s="48"/>
      <c r="T3" s="49"/>
    </row>
    <row r="4" spans="1:56" x14ac:dyDescent="0.25">
      <c r="A4" s="47" t="s">
        <v>125</v>
      </c>
      <c r="B4" s="80" t="str">
        <f>+'Evaluación SyP'!E2</f>
        <v>Jefe de Turno</v>
      </c>
      <c r="C4" s="81"/>
      <c r="D4" s="161"/>
      <c r="E4" s="160" t="s">
        <v>166</v>
      </c>
      <c r="F4" s="99">
        <f>+'Evaluación SyP'!F3</f>
        <v>22</v>
      </c>
      <c r="G4" s="100"/>
      <c r="H4" s="48"/>
      <c r="I4" s="48"/>
      <c r="J4" s="48"/>
      <c r="K4" s="48"/>
      <c r="L4" s="48"/>
      <c r="M4" s="48"/>
      <c r="N4" s="48"/>
      <c r="O4" s="48"/>
      <c r="P4" s="48"/>
      <c r="Q4" s="48"/>
      <c r="R4" s="48"/>
      <c r="S4" s="48"/>
      <c r="T4" s="49"/>
    </row>
    <row r="5" spans="1:56" x14ac:dyDescent="0.25">
      <c r="A5" s="47" t="s">
        <v>127</v>
      </c>
      <c r="B5" s="80" t="str">
        <f>+'Evaluación SyP'!E3</f>
        <v>Operaciones</v>
      </c>
      <c r="C5" s="81"/>
      <c r="D5" s="161"/>
      <c r="E5" s="160" t="s">
        <v>167</v>
      </c>
      <c r="F5" s="101" t="str">
        <f>+'Evaluación SyP'!F5</f>
        <v>Mto1</v>
      </c>
      <c r="G5" s="100"/>
      <c r="H5" s="48"/>
      <c r="I5" s="48"/>
      <c r="J5" s="48"/>
      <c r="K5" s="48"/>
      <c r="L5" s="48"/>
      <c r="M5" s="48"/>
      <c r="N5" s="48"/>
      <c r="O5" s="48"/>
      <c r="P5" s="48"/>
      <c r="Q5" s="48"/>
      <c r="R5" s="48"/>
      <c r="S5" s="48"/>
      <c r="T5" s="49"/>
    </row>
    <row r="6" spans="1:56" x14ac:dyDescent="0.25">
      <c r="A6" s="47" t="s">
        <v>126</v>
      </c>
      <c r="B6" s="143" t="str">
        <f>+'Evaluación SyP'!E4</f>
        <v>Ada Fanjul</v>
      </c>
      <c r="C6" s="144"/>
      <c r="D6" s="162"/>
      <c r="E6" s="160" t="s">
        <v>124</v>
      </c>
      <c r="F6" s="141">
        <f>+'Evaluación SyP'!E5</f>
        <v>45597</v>
      </c>
      <c r="G6" s="142"/>
      <c r="H6" s="48"/>
      <c r="I6" s="48"/>
      <c r="J6" s="48"/>
      <c r="K6" s="48"/>
      <c r="L6" s="48"/>
      <c r="M6" s="48"/>
      <c r="N6" s="48"/>
      <c r="O6" s="48"/>
      <c r="P6" s="48"/>
      <c r="Q6" s="48"/>
      <c r="R6" s="48"/>
      <c r="S6" s="48"/>
      <c r="T6" s="49"/>
    </row>
    <row r="7" spans="1:56" s="33" customFormat="1" ht="12.75" customHeight="1" x14ac:dyDescent="0.25">
      <c r="A7" s="50" t="s">
        <v>176</v>
      </c>
      <c r="B7" s="153">
        <f>+'Evaluación SyP'!E6</f>
        <v>5</v>
      </c>
      <c r="C7" s="153"/>
      <c r="D7" s="163"/>
      <c r="E7" s="48"/>
      <c r="F7" s="48"/>
      <c r="G7" s="48"/>
      <c r="H7" s="48"/>
      <c r="I7" s="52"/>
      <c r="J7" s="52"/>
      <c r="K7" s="48"/>
      <c r="L7" s="48"/>
      <c r="M7" s="48"/>
      <c r="N7" s="48"/>
      <c r="O7" s="48"/>
      <c r="P7" s="48"/>
      <c r="Q7" s="48"/>
      <c r="R7" s="48"/>
      <c r="S7" s="48"/>
      <c r="T7" s="49"/>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row>
    <row r="8" spans="1:56" s="33" customFormat="1" x14ac:dyDescent="0.25">
      <c r="A8" s="51"/>
      <c r="B8" s="48"/>
      <c r="C8" s="48"/>
      <c r="D8" s="48"/>
      <c r="E8" s="48"/>
      <c r="F8" s="48"/>
      <c r="G8" s="48"/>
      <c r="H8" s="48"/>
      <c r="I8" s="48"/>
      <c r="J8" s="48"/>
      <c r="K8" s="48"/>
      <c r="L8" s="48"/>
      <c r="M8" s="48"/>
      <c r="N8" s="48"/>
      <c r="O8" s="48"/>
      <c r="P8" s="48"/>
      <c r="Q8" s="48"/>
      <c r="R8" s="48"/>
      <c r="S8" s="48"/>
      <c r="T8" s="49"/>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row>
    <row r="9" spans="1:56" s="33" customFormat="1" x14ac:dyDescent="0.25">
      <c r="A9" s="51"/>
      <c r="B9" s="48"/>
      <c r="C9" s="48"/>
      <c r="D9" s="48"/>
      <c r="E9" s="48"/>
      <c r="F9" s="48"/>
      <c r="G9" s="48"/>
      <c r="H9" s="48"/>
      <c r="I9" s="48"/>
      <c r="J9" s="48"/>
      <c r="K9" s="48"/>
      <c r="L9" s="48"/>
      <c r="M9" s="48"/>
      <c r="N9" s="48"/>
      <c r="O9" s="48"/>
      <c r="P9" s="48"/>
      <c r="Q9" s="48"/>
      <c r="R9" s="48"/>
      <c r="S9" s="48"/>
      <c r="T9" s="49"/>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row>
    <row r="10" spans="1:56" s="33" customFormat="1" ht="15" customHeight="1" x14ac:dyDescent="0.25">
      <c r="A10" s="51"/>
      <c r="B10" s="48"/>
      <c r="C10" s="165" t="s">
        <v>177</v>
      </c>
      <c r="D10" s="165"/>
      <c r="E10" s="165"/>
      <c r="F10" s="166"/>
      <c r="G10" s="167" t="s">
        <v>178</v>
      </c>
      <c r="H10" s="168"/>
      <c r="I10" s="168"/>
      <c r="J10" s="169"/>
      <c r="K10" s="167" t="s">
        <v>47</v>
      </c>
      <c r="L10" s="168"/>
      <c r="M10" s="168"/>
      <c r="N10" s="48"/>
      <c r="O10" s="48"/>
      <c r="P10" s="48"/>
      <c r="Q10" s="48"/>
      <c r="R10" s="48"/>
      <c r="S10" s="48"/>
      <c r="T10" s="49"/>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row>
    <row r="11" spans="1:56" s="33" customFormat="1" ht="25.5" customHeight="1" x14ac:dyDescent="0.25">
      <c r="A11" s="154"/>
      <c r="B11" s="152"/>
      <c r="C11" s="164" t="s">
        <v>0</v>
      </c>
      <c r="D11" s="164" t="s">
        <v>4</v>
      </c>
      <c r="E11" s="164" t="s">
        <v>5</v>
      </c>
      <c r="F11" s="164" t="s">
        <v>6</v>
      </c>
      <c r="G11" s="164" t="s">
        <v>0</v>
      </c>
      <c r="H11" s="164" t="s">
        <v>4</v>
      </c>
      <c r="I11" s="164" t="s">
        <v>5</v>
      </c>
      <c r="J11" s="164" t="s">
        <v>6</v>
      </c>
      <c r="K11" s="164" t="s">
        <v>174</v>
      </c>
      <c r="L11" s="164" t="s">
        <v>175</v>
      </c>
      <c r="M11" s="164" t="s">
        <v>128</v>
      </c>
      <c r="N11" s="48"/>
      <c r="O11" s="48"/>
      <c r="P11" s="48"/>
      <c r="Q11" s="48"/>
      <c r="R11" s="48"/>
      <c r="S11" s="48"/>
      <c r="T11" s="49"/>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row>
    <row r="12" spans="1:56" s="33" customFormat="1" ht="12.75" customHeight="1" x14ac:dyDescent="0.25">
      <c r="A12" s="145" t="s">
        <v>158</v>
      </c>
      <c r="B12" s="55" t="s">
        <v>2</v>
      </c>
      <c r="C12" s="54"/>
      <c r="D12" s="56"/>
      <c r="E12" s="57"/>
      <c r="F12" s="56"/>
      <c r="G12" s="57"/>
      <c r="H12" s="56"/>
      <c r="I12" s="57"/>
      <c r="J12" s="57"/>
      <c r="K12" s="58"/>
      <c r="L12" s="58"/>
      <c r="M12" s="58"/>
      <c r="N12" s="48"/>
      <c r="O12" s="48"/>
      <c r="P12" s="48"/>
      <c r="Q12" s="48"/>
      <c r="R12" s="48"/>
      <c r="S12" s="48"/>
      <c r="T12" s="49"/>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row>
    <row r="13" spans="1:56" s="33" customFormat="1" x14ac:dyDescent="0.25">
      <c r="A13" s="145"/>
      <c r="B13" s="55" t="s">
        <v>1</v>
      </c>
      <c r="C13" s="54"/>
      <c r="D13" s="56"/>
      <c r="E13" s="57"/>
      <c r="F13" s="56"/>
      <c r="G13" s="57"/>
      <c r="H13" s="56"/>
      <c r="I13" s="57"/>
      <c r="J13" s="57"/>
      <c r="K13" s="58"/>
      <c r="L13" s="58"/>
      <c r="M13" s="58"/>
      <c r="N13" s="48"/>
      <c r="O13" s="48"/>
      <c r="P13" s="48"/>
      <c r="Q13" s="48"/>
      <c r="R13" s="48"/>
      <c r="S13" s="48"/>
      <c r="T13" s="49"/>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row>
    <row r="14" spans="1:56" s="33" customFormat="1" ht="24" x14ac:dyDescent="0.25">
      <c r="A14" s="145"/>
      <c r="B14" s="66" t="s">
        <v>159</v>
      </c>
      <c r="C14" s="54"/>
      <c r="D14" s="56"/>
      <c r="E14" s="57"/>
      <c r="F14" s="56"/>
      <c r="G14" s="57"/>
      <c r="H14" s="56"/>
      <c r="I14" s="57"/>
      <c r="J14" s="57"/>
      <c r="K14" s="58"/>
      <c r="L14" s="58"/>
      <c r="M14" s="58"/>
      <c r="N14" s="48"/>
      <c r="O14" s="48"/>
      <c r="P14" s="48"/>
      <c r="Q14" s="48"/>
      <c r="R14" s="48"/>
      <c r="S14" s="48"/>
      <c r="T14" s="49"/>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row>
    <row r="15" spans="1:56" s="33" customFormat="1" x14ac:dyDescent="0.25">
      <c r="A15" s="145"/>
      <c r="B15" s="55" t="s">
        <v>137</v>
      </c>
      <c r="C15" s="54"/>
      <c r="D15" s="56"/>
      <c r="E15" s="57"/>
      <c r="F15" s="56"/>
      <c r="G15" s="57"/>
      <c r="H15" s="56"/>
      <c r="I15" s="57"/>
      <c r="J15" s="57"/>
      <c r="K15" s="58"/>
      <c r="L15" s="58"/>
      <c r="M15" s="58"/>
      <c r="N15" s="48"/>
      <c r="O15" s="48"/>
      <c r="P15" s="48"/>
      <c r="Q15" s="48"/>
      <c r="R15" s="48"/>
      <c r="S15" s="48"/>
      <c r="T15" s="49"/>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row>
    <row r="16" spans="1:56" s="33" customFormat="1" x14ac:dyDescent="0.25">
      <c r="A16" s="145"/>
      <c r="B16" s="55" t="s">
        <v>3</v>
      </c>
      <c r="C16" s="54"/>
      <c r="D16" s="56"/>
      <c r="E16" s="57"/>
      <c r="F16" s="56"/>
      <c r="G16" s="57"/>
      <c r="H16" s="56"/>
      <c r="I16" s="57"/>
      <c r="J16" s="57"/>
      <c r="K16" s="58"/>
      <c r="L16" s="58"/>
      <c r="M16" s="58"/>
      <c r="N16" s="48"/>
      <c r="O16" s="48"/>
      <c r="P16" s="48"/>
      <c r="Q16" s="48"/>
      <c r="R16" s="48"/>
      <c r="S16" s="48"/>
      <c r="T16" s="49"/>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row>
    <row r="17" spans="1:56" s="33" customFormat="1" x14ac:dyDescent="0.25">
      <c r="A17" s="145"/>
      <c r="B17" s="55" t="s">
        <v>138</v>
      </c>
      <c r="C17" s="54"/>
      <c r="D17" s="56"/>
      <c r="E17" s="57"/>
      <c r="F17" s="56"/>
      <c r="G17" s="57"/>
      <c r="H17" s="56"/>
      <c r="I17" s="57"/>
      <c r="J17" s="57"/>
      <c r="K17" s="58"/>
      <c r="L17" s="58"/>
      <c r="M17" s="58"/>
      <c r="N17" s="48"/>
      <c r="O17" s="48"/>
      <c r="P17" s="48"/>
      <c r="Q17" s="48"/>
      <c r="R17" s="48"/>
      <c r="S17" s="48"/>
      <c r="T17" s="49"/>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row>
    <row r="18" spans="1:56" s="33" customFormat="1" x14ac:dyDescent="0.25">
      <c r="A18" s="145"/>
      <c r="B18" s="55" t="s">
        <v>130</v>
      </c>
      <c r="C18" s="54"/>
      <c r="D18" s="87"/>
      <c r="E18" s="57"/>
      <c r="F18" s="87"/>
      <c r="G18" s="87"/>
      <c r="H18" s="87"/>
      <c r="I18" s="57"/>
      <c r="J18" s="57"/>
      <c r="K18" s="58"/>
      <c r="L18" s="58"/>
      <c r="M18" s="58"/>
      <c r="N18" s="48"/>
      <c r="O18" s="48"/>
      <c r="P18" s="48"/>
      <c r="Q18" s="48"/>
      <c r="R18" s="48"/>
      <c r="S18" s="48"/>
      <c r="T18" s="49"/>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row>
    <row r="19" spans="1:56" s="33" customFormat="1" x14ac:dyDescent="0.25">
      <c r="A19" s="51"/>
      <c r="B19" s="48"/>
      <c r="C19" s="53"/>
      <c r="D19" s="59"/>
      <c r="E19" s="60"/>
      <c r="F19" s="59"/>
      <c r="G19" s="59"/>
      <c r="H19" s="59"/>
      <c r="I19" s="60"/>
      <c r="J19" s="60"/>
      <c r="K19" s="61"/>
      <c r="L19" s="61"/>
      <c r="M19" s="61"/>
      <c r="N19" s="48"/>
      <c r="O19" s="48"/>
      <c r="P19" s="48"/>
      <c r="Q19" s="48"/>
      <c r="R19" s="48"/>
      <c r="S19" s="48"/>
      <c r="T19" s="49"/>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row>
    <row r="20" spans="1:56" s="33" customFormat="1" x14ac:dyDescent="0.25">
      <c r="A20" s="51"/>
      <c r="B20" s="48"/>
      <c r="C20" s="53"/>
      <c r="D20" s="59"/>
      <c r="E20" s="60"/>
      <c r="F20" s="59"/>
      <c r="G20" s="59"/>
      <c r="H20" s="59"/>
      <c r="I20" s="60"/>
      <c r="J20" s="60"/>
      <c r="K20" s="61"/>
      <c r="L20" s="61"/>
      <c r="M20" s="61"/>
      <c r="N20" s="48"/>
      <c r="O20" s="48"/>
      <c r="P20" s="48"/>
      <c r="Q20" s="48"/>
      <c r="R20" s="48"/>
      <c r="S20" s="48"/>
      <c r="T20" s="49"/>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row>
    <row r="21" spans="1:56" s="33" customFormat="1" ht="17.25" x14ac:dyDescent="0.25">
      <c r="A21" s="149" t="s">
        <v>155</v>
      </c>
      <c r="B21" s="150"/>
      <c r="C21" s="53"/>
      <c r="D21" s="59"/>
      <c r="E21" s="60"/>
      <c r="F21" s="59"/>
      <c r="G21" s="59"/>
      <c r="H21" s="59"/>
      <c r="I21" s="60"/>
      <c r="J21" s="60"/>
      <c r="K21" s="61"/>
      <c r="L21" s="61"/>
      <c r="M21" s="61"/>
      <c r="N21" s="48"/>
      <c r="O21" s="48"/>
      <c r="P21" s="48"/>
      <c r="Q21" s="48"/>
      <c r="R21" s="48"/>
      <c r="S21" s="48"/>
      <c r="T21" s="49"/>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row>
    <row r="22" spans="1:56" s="33" customFormat="1" x14ac:dyDescent="0.25">
      <c r="A22" s="47" t="s">
        <v>174</v>
      </c>
      <c r="B22" s="62">
        <f>+K18</f>
        <v>0</v>
      </c>
      <c r="C22" s="53"/>
      <c r="D22" s="59"/>
      <c r="E22" s="60"/>
      <c r="F22" s="59"/>
      <c r="G22" s="59"/>
      <c r="H22" s="59"/>
      <c r="I22" s="60"/>
      <c r="J22" s="60"/>
      <c r="K22" s="61"/>
      <c r="L22" s="61"/>
      <c r="M22" s="61"/>
      <c r="N22" s="48"/>
      <c r="O22" s="48"/>
      <c r="P22" s="48"/>
      <c r="Q22" s="48"/>
      <c r="R22" s="48"/>
      <c r="S22" s="48"/>
      <c r="T22" s="49"/>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row>
    <row r="23" spans="1:56" s="33" customFormat="1" x14ac:dyDescent="0.25">
      <c r="A23" s="63" t="s">
        <v>175</v>
      </c>
      <c r="B23" s="62">
        <f>+L19</f>
        <v>0</v>
      </c>
      <c r="C23" s="53"/>
      <c r="D23" s="59"/>
      <c r="E23" s="60"/>
      <c r="F23" s="59"/>
      <c r="G23" s="59"/>
      <c r="H23" s="59"/>
      <c r="I23" s="60"/>
      <c r="J23" s="60"/>
      <c r="K23" s="61"/>
      <c r="L23" s="61"/>
      <c r="M23" s="61"/>
      <c r="N23" s="48"/>
      <c r="O23" s="48"/>
      <c r="P23" s="48"/>
      <c r="Q23" s="48"/>
      <c r="R23" s="48"/>
      <c r="S23" s="48"/>
      <c r="T23" s="49"/>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row>
    <row r="24" spans="1:56" s="33" customFormat="1" x14ac:dyDescent="0.25">
      <c r="A24" s="63" t="s">
        <v>128</v>
      </c>
      <c r="B24" s="64">
        <f>+M18</f>
        <v>0</v>
      </c>
      <c r="C24" s="53"/>
      <c r="D24" s="59"/>
      <c r="E24" s="60"/>
      <c r="F24" s="59"/>
      <c r="G24" s="59"/>
      <c r="H24" s="59"/>
      <c r="I24" s="60"/>
      <c r="J24" s="60"/>
      <c r="K24" s="61"/>
      <c r="L24" s="61"/>
      <c r="M24" s="61"/>
      <c r="N24" s="48"/>
      <c r="O24" s="48"/>
      <c r="P24" s="48"/>
      <c r="Q24" s="48"/>
      <c r="R24" s="48"/>
      <c r="S24" s="48"/>
      <c r="T24" s="49"/>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row>
    <row r="25" spans="1:56" s="33" customFormat="1" x14ac:dyDescent="0.25">
      <c r="A25" s="51"/>
      <c r="B25" s="48"/>
      <c r="C25" s="53"/>
      <c r="D25" s="59"/>
      <c r="E25" s="60"/>
      <c r="F25" s="59"/>
      <c r="G25" s="59"/>
      <c r="H25" s="59"/>
      <c r="I25" s="60"/>
      <c r="J25" s="60"/>
      <c r="K25" s="61"/>
      <c r="L25" s="61"/>
      <c r="M25" s="61"/>
      <c r="N25" s="48"/>
      <c r="O25" s="48"/>
      <c r="P25" s="48"/>
      <c r="Q25" s="48"/>
      <c r="R25" s="48"/>
      <c r="S25" s="48"/>
      <c r="T25" s="49"/>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row>
    <row r="26" spans="1:56" s="33" customFormat="1" ht="24" customHeight="1" x14ac:dyDescent="0.25">
      <c r="A26" s="146" t="s">
        <v>131</v>
      </c>
      <c r="B26" s="147"/>
      <c r="C26" s="147"/>
      <c r="D26" s="147"/>
      <c r="E26" s="147"/>
      <c r="F26" s="147"/>
      <c r="G26" s="147"/>
      <c r="H26" s="147"/>
      <c r="I26" s="147"/>
      <c r="J26" s="147"/>
      <c r="K26" s="147"/>
      <c r="L26" s="148"/>
      <c r="M26" s="151"/>
      <c r="N26" s="48"/>
      <c r="O26" s="48"/>
      <c r="P26" s="48"/>
      <c r="Q26" s="48"/>
      <c r="R26" s="48"/>
      <c r="S26" s="48"/>
      <c r="T26" s="49"/>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row>
    <row r="27" spans="1:56" s="33" customFormat="1" ht="12" customHeight="1" x14ac:dyDescent="0.25">
      <c r="A27" s="138"/>
      <c r="B27" s="139"/>
      <c r="C27" s="139"/>
      <c r="D27" s="139"/>
      <c r="E27" s="139"/>
      <c r="F27" s="139"/>
      <c r="G27" s="139"/>
      <c r="H27" s="139"/>
      <c r="I27" s="139"/>
      <c r="J27" s="139"/>
      <c r="K27" s="139"/>
      <c r="L27" s="140"/>
      <c r="M27" s="156"/>
      <c r="N27" s="48"/>
      <c r="O27" s="48"/>
      <c r="P27" s="48"/>
      <c r="Q27" s="48"/>
      <c r="R27" s="48"/>
      <c r="S27" s="48"/>
      <c r="T27" s="49"/>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row>
    <row r="28" spans="1:56" s="33" customFormat="1" x14ac:dyDescent="0.25">
      <c r="A28" s="135" t="s">
        <v>171</v>
      </c>
      <c r="B28" s="136"/>
      <c r="C28" s="136"/>
      <c r="D28" s="136"/>
      <c r="E28" s="136"/>
      <c r="F28" s="136"/>
      <c r="G28" s="136"/>
      <c r="H28" s="136"/>
      <c r="I28" s="136"/>
      <c r="J28" s="136"/>
      <c r="K28" s="136"/>
      <c r="L28" s="137"/>
      <c r="M28" s="157"/>
      <c r="N28" s="48"/>
      <c r="O28" s="48"/>
      <c r="P28" s="48"/>
      <c r="Q28" s="48"/>
      <c r="R28" s="48"/>
      <c r="S28" s="48"/>
      <c r="T28" s="49"/>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row>
    <row r="29" spans="1:56" s="33" customFormat="1" x14ac:dyDescent="0.25">
      <c r="A29" s="65" t="s">
        <v>182</v>
      </c>
      <c r="B29" s="104" t="s">
        <v>156</v>
      </c>
      <c r="C29" s="105"/>
      <c r="D29" s="106"/>
      <c r="E29" s="102" t="s">
        <v>170</v>
      </c>
      <c r="F29" s="103"/>
      <c r="G29" s="107" t="s">
        <v>157</v>
      </c>
      <c r="H29" s="107"/>
      <c r="I29" s="134" t="s">
        <v>133</v>
      </c>
      <c r="J29" s="134"/>
      <c r="K29" s="134"/>
      <c r="L29" s="134"/>
      <c r="M29" s="158"/>
      <c r="N29" s="48"/>
      <c r="O29" s="48"/>
      <c r="P29" s="48"/>
      <c r="Q29" s="48"/>
      <c r="R29" s="48"/>
      <c r="S29" s="48"/>
      <c r="T29" s="49"/>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row>
    <row r="30" spans="1:56" s="33" customFormat="1" x14ac:dyDescent="0.25">
      <c r="A30" s="108"/>
      <c r="B30" s="113"/>
      <c r="C30" s="117"/>
      <c r="D30" s="114"/>
      <c r="E30" s="113"/>
      <c r="F30" s="114"/>
      <c r="G30" s="109"/>
      <c r="H30" s="109"/>
      <c r="I30" s="110"/>
      <c r="J30" s="110"/>
      <c r="K30" s="110"/>
      <c r="L30" s="110"/>
      <c r="M30" s="60"/>
      <c r="N30" s="48"/>
      <c r="O30" s="48"/>
      <c r="P30" s="48"/>
      <c r="Q30" s="48"/>
      <c r="R30" s="48"/>
      <c r="S30" s="48"/>
      <c r="T30" s="49"/>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row>
    <row r="31" spans="1:56" s="33" customFormat="1" x14ac:dyDescent="0.25">
      <c r="A31" s="108"/>
      <c r="B31" s="115"/>
      <c r="C31" s="118"/>
      <c r="D31" s="116"/>
      <c r="E31" s="115"/>
      <c r="F31" s="116"/>
      <c r="G31" s="109"/>
      <c r="H31" s="109"/>
      <c r="I31" s="110"/>
      <c r="J31" s="110"/>
      <c r="K31" s="110"/>
      <c r="L31" s="110"/>
      <c r="M31" s="60"/>
      <c r="N31" s="48"/>
      <c r="O31" s="48"/>
      <c r="P31" s="48"/>
      <c r="Q31" s="48"/>
      <c r="R31" s="48"/>
      <c r="S31" s="48"/>
      <c r="T31" s="49"/>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row>
    <row r="32" spans="1:56" s="33" customFormat="1" x14ac:dyDescent="0.25">
      <c r="A32" s="111"/>
      <c r="B32" s="119"/>
      <c r="C32" s="123"/>
      <c r="D32" s="120"/>
      <c r="E32" s="119"/>
      <c r="F32" s="120"/>
      <c r="G32" s="112"/>
      <c r="H32" s="112"/>
      <c r="I32" s="112"/>
      <c r="J32" s="112"/>
      <c r="K32" s="112"/>
      <c r="L32" s="112"/>
      <c r="M32" s="159"/>
      <c r="N32" s="48"/>
      <c r="O32" s="48"/>
      <c r="P32" s="48"/>
      <c r="Q32" s="48"/>
      <c r="R32" s="48"/>
      <c r="S32" s="48"/>
      <c r="T32" s="49"/>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row>
    <row r="33" spans="1:56" s="33" customFormat="1" x14ac:dyDescent="0.25">
      <c r="A33" s="111"/>
      <c r="B33" s="121"/>
      <c r="C33" s="124"/>
      <c r="D33" s="122"/>
      <c r="E33" s="121"/>
      <c r="F33" s="122"/>
      <c r="G33" s="112"/>
      <c r="H33" s="112"/>
      <c r="I33" s="112"/>
      <c r="J33" s="112"/>
      <c r="K33" s="112"/>
      <c r="L33" s="112"/>
      <c r="M33" s="159"/>
      <c r="N33" s="48"/>
      <c r="O33" s="48"/>
      <c r="P33" s="48"/>
      <c r="Q33" s="48"/>
      <c r="R33" s="48"/>
      <c r="S33" s="48"/>
      <c r="T33" s="49"/>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row>
    <row r="34" spans="1:56" s="33" customFormat="1" x14ac:dyDescent="0.25">
      <c r="A34" s="111"/>
      <c r="B34" s="119"/>
      <c r="C34" s="123"/>
      <c r="D34" s="120"/>
      <c r="E34" s="119"/>
      <c r="F34" s="120"/>
      <c r="G34" s="112"/>
      <c r="H34" s="112"/>
      <c r="I34" s="112"/>
      <c r="J34" s="112"/>
      <c r="K34" s="112"/>
      <c r="L34" s="112"/>
      <c r="M34" s="159"/>
      <c r="N34" s="48"/>
      <c r="O34" s="48"/>
      <c r="P34" s="48"/>
      <c r="Q34" s="48"/>
      <c r="R34" s="48"/>
      <c r="S34" s="48"/>
      <c r="T34" s="49"/>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row>
    <row r="35" spans="1:56" s="33" customFormat="1" x14ac:dyDescent="0.25">
      <c r="A35" s="111"/>
      <c r="B35" s="121"/>
      <c r="C35" s="124"/>
      <c r="D35" s="122"/>
      <c r="E35" s="121"/>
      <c r="F35" s="122"/>
      <c r="G35" s="112"/>
      <c r="H35" s="112"/>
      <c r="I35" s="112"/>
      <c r="J35" s="112"/>
      <c r="K35" s="112"/>
      <c r="L35" s="112"/>
      <c r="M35" s="159"/>
      <c r="N35" s="48"/>
      <c r="O35" s="48"/>
      <c r="P35" s="48"/>
      <c r="Q35" s="48"/>
      <c r="R35" s="48"/>
      <c r="S35" s="48"/>
      <c r="T35" s="49"/>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row>
    <row r="36" spans="1:56" x14ac:dyDescent="0.25">
      <c r="A36" s="111"/>
      <c r="B36" s="119"/>
      <c r="C36" s="123"/>
      <c r="D36" s="120"/>
      <c r="E36" s="119"/>
      <c r="F36" s="120"/>
      <c r="G36" s="112"/>
      <c r="H36" s="112"/>
      <c r="I36" s="112"/>
      <c r="J36" s="112"/>
      <c r="K36" s="112"/>
      <c r="L36" s="112"/>
      <c r="M36" s="159"/>
      <c r="N36" s="48"/>
      <c r="O36" s="48"/>
      <c r="P36" s="48"/>
      <c r="Q36" s="48"/>
      <c r="R36" s="48"/>
      <c r="S36" s="48"/>
      <c r="T36" s="49"/>
    </row>
    <row r="37" spans="1:56" x14ac:dyDescent="0.25">
      <c r="A37" s="111"/>
      <c r="B37" s="121"/>
      <c r="C37" s="124"/>
      <c r="D37" s="122"/>
      <c r="E37" s="121"/>
      <c r="F37" s="122"/>
      <c r="G37" s="112"/>
      <c r="H37" s="112"/>
      <c r="I37" s="112"/>
      <c r="J37" s="112"/>
      <c r="K37" s="112"/>
      <c r="L37" s="112"/>
      <c r="M37" s="159"/>
      <c r="N37" s="48"/>
      <c r="O37" s="48"/>
      <c r="P37" s="48"/>
      <c r="Q37" s="48"/>
      <c r="R37" s="48"/>
      <c r="S37" s="48"/>
      <c r="T37" s="49"/>
    </row>
    <row r="38" spans="1:56" x14ac:dyDescent="0.25">
      <c r="A38" s="131" t="s">
        <v>133</v>
      </c>
      <c r="B38" s="125"/>
      <c r="C38" s="125"/>
      <c r="D38" s="125"/>
      <c r="E38" s="125"/>
      <c r="F38" s="125"/>
      <c r="G38" s="125"/>
      <c r="H38" s="125"/>
      <c r="I38" s="125"/>
      <c r="J38" s="125"/>
      <c r="K38" s="125"/>
      <c r="L38" s="125"/>
      <c r="M38" s="125"/>
      <c r="N38" s="125"/>
      <c r="O38" s="125"/>
      <c r="P38" s="125"/>
      <c r="Q38" s="125"/>
      <c r="R38" s="125"/>
      <c r="S38" s="125"/>
      <c r="T38" s="126"/>
    </row>
    <row r="39" spans="1:56" x14ac:dyDescent="0.25">
      <c r="A39" s="132"/>
      <c r="B39" s="127"/>
      <c r="C39" s="127"/>
      <c r="D39" s="127"/>
      <c r="E39" s="127"/>
      <c r="F39" s="127"/>
      <c r="G39" s="127"/>
      <c r="H39" s="127"/>
      <c r="I39" s="127"/>
      <c r="J39" s="127"/>
      <c r="K39" s="127"/>
      <c r="L39" s="127"/>
      <c r="M39" s="127"/>
      <c r="N39" s="127"/>
      <c r="O39" s="127"/>
      <c r="P39" s="127"/>
      <c r="Q39" s="127"/>
      <c r="R39" s="127"/>
      <c r="S39" s="127"/>
      <c r="T39" s="128"/>
    </row>
    <row r="40" spans="1:56" x14ac:dyDescent="0.25">
      <c r="A40" s="132"/>
      <c r="B40" s="127"/>
      <c r="C40" s="127"/>
      <c r="D40" s="127"/>
      <c r="E40" s="127"/>
      <c r="F40" s="127"/>
      <c r="G40" s="127"/>
      <c r="H40" s="127"/>
      <c r="I40" s="127"/>
      <c r="J40" s="127"/>
      <c r="K40" s="127"/>
      <c r="L40" s="127"/>
      <c r="M40" s="127"/>
      <c r="N40" s="127"/>
      <c r="O40" s="127"/>
      <c r="P40" s="127"/>
      <c r="Q40" s="127"/>
      <c r="R40" s="127"/>
      <c r="S40" s="127"/>
      <c r="T40" s="128"/>
    </row>
    <row r="41" spans="1:56" x14ac:dyDescent="0.25">
      <c r="A41" s="132"/>
      <c r="B41" s="127"/>
      <c r="C41" s="127"/>
      <c r="D41" s="127"/>
      <c r="E41" s="127"/>
      <c r="F41" s="127"/>
      <c r="G41" s="127"/>
      <c r="H41" s="127"/>
      <c r="I41" s="127"/>
      <c r="J41" s="127"/>
      <c r="K41" s="127"/>
      <c r="L41" s="127"/>
      <c r="M41" s="127"/>
      <c r="N41" s="127"/>
      <c r="O41" s="127"/>
      <c r="P41" s="127"/>
      <c r="Q41" s="127"/>
      <c r="R41" s="127"/>
      <c r="S41" s="127"/>
      <c r="T41" s="128"/>
    </row>
    <row r="42" spans="1:56" ht="13.5" thickBot="1" x14ac:dyDescent="0.3">
      <c r="A42" s="133"/>
      <c r="B42" s="129"/>
      <c r="C42" s="129"/>
      <c r="D42" s="129"/>
      <c r="E42" s="129"/>
      <c r="F42" s="129"/>
      <c r="G42" s="129"/>
      <c r="H42" s="129"/>
      <c r="I42" s="129"/>
      <c r="J42" s="129"/>
      <c r="K42" s="129"/>
      <c r="L42" s="129"/>
      <c r="M42" s="129"/>
      <c r="N42" s="129"/>
      <c r="O42" s="129"/>
      <c r="P42" s="129"/>
      <c r="Q42" s="129"/>
      <c r="R42" s="129"/>
      <c r="S42" s="129"/>
      <c r="T42" s="130"/>
    </row>
  </sheetData>
  <mergeCells count="40">
    <mergeCell ref="A38:A42"/>
    <mergeCell ref="B38:T42"/>
    <mergeCell ref="B7:D7"/>
    <mergeCell ref="C10:F10"/>
    <mergeCell ref="G10:J10"/>
    <mergeCell ref="K10:M10"/>
    <mergeCell ref="A34:A35"/>
    <mergeCell ref="B34:D35"/>
    <mergeCell ref="E34:F35"/>
    <mergeCell ref="G34:H35"/>
    <mergeCell ref="I34:L35"/>
    <mergeCell ref="A36:A37"/>
    <mergeCell ref="B36:D37"/>
    <mergeCell ref="E36:F37"/>
    <mergeCell ref="G36:H37"/>
    <mergeCell ref="I36:L37"/>
    <mergeCell ref="A30:A31"/>
    <mergeCell ref="B30:D31"/>
    <mergeCell ref="E30:F31"/>
    <mergeCell ref="G30:H31"/>
    <mergeCell ref="I30:L31"/>
    <mergeCell ref="A32:A33"/>
    <mergeCell ref="B32:D33"/>
    <mergeCell ref="E32:F33"/>
    <mergeCell ref="G32:H33"/>
    <mergeCell ref="I32:L33"/>
    <mergeCell ref="A26:L26"/>
    <mergeCell ref="A27:L27"/>
    <mergeCell ref="A28:L28"/>
    <mergeCell ref="B29:D29"/>
    <mergeCell ref="E29:F29"/>
    <mergeCell ref="G29:H29"/>
    <mergeCell ref="I29:L29"/>
    <mergeCell ref="A12:A18"/>
    <mergeCell ref="A21:B21"/>
    <mergeCell ref="F3:G3"/>
    <mergeCell ref="F4:G4"/>
    <mergeCell ref="F5:G5"/>
    <mergeCell ref="B6:D6"/>
    <mergeCell ref="F6:G6"/>
  </mergeCells>
  <printOptions horizontalCentered="1" verticalCentered="1"/>
  <pageMargins left="0.23622047244094491" right="0.23622047244094491" top="0.94488188976377963" bottom="0.74803149606299213" header="0.70866141732283472" footer="0.31496062992125984"/>
  <pageSetup paperSize="9" scale="74" orientation="landscape" r:id="rId1"/>
  <headerFooter>
    <oddHeader>&amp;C&amp;"-,Negrita"&amp;14Evaluación de Competencias en SyP para Línea de Mando</oddHeader>
  </headerFooter>
  <ignoredErrors>
    <ignoredError xmlns:x16r3="http://schemas.microsoft.com/office/spreadsheetml/2018/08/main" sqref="B7" x16r3:misleadingFormat="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25C0-EC52-4BB2-971E-AFDE1E0051D8}">
  <sheetPr>
    <tabColor theme="1"/>
  </sheetPr>
  <dimension ref="A1:V21"/>
  <sheetViews>
    <sheetView zoomScale="90" zoomScaleNormal="90" workbookViewId="0">
      <selection activeCell="T2" sqref="T2"/>
    </sheetView>
  </sheetViews>
  <sheetFormatPr baseColWidth="10" defaultRowHeight="15" x14ac:dyDescent="0.25"/>
  <cols>
    <col min="1" max="1" width="13.42578125" customWidth="1"/>
    <col min="2" max="2" width="14.7109375" customWidth="1"/>
    <col min="3" max="3" width="7.28515625" style="77" customWidth="1"/>
    <col min="4" max="4" width="11.42578125" customWidth="1"/>
    <col min="6" max="6" width="6.7109375" customWidth="1"/>
    <col min="7" max="7" width="10" customWidth="1"/>
    <col min="8" max="16" width="12.7109375" customWidth="1"/>
    <col min="17" max="17" width="12.7109375" style="77" customWidth="1"/>
    <col min="20" max="20" width="15.28515625" customWidth="1"/>
  </cols>
  <sheetData>
    <row r="1" spans="1:22" x14ac:dyDescent="0.25">
      <c r="B1" s="43"/>
      <c r="C1" s="82"/>
      <c r="D1" s="43"/>
      <c r="E1" s="43"/>
      <c r="F1" s="43"/>
      <c r="G1" s="43"/>
      <c r="H1" s="180" t="s">
        <v>187</v>
      </c>
      <c r="I1" s="180"/>
      <c r="J1" s="181" t="s">
        <v>188</v>
      </c>
      <c r="K1" s="181"/>
      <c r="L1" s="182" t="s">
        <v>191</v>
      </c>
      <c r="M1" s="182"/>
      <c r="N1" s="173" t="s">
        <v>192</v>
      </c>
      <c r="O1" s="174"/>
      <c r="P1" s="175" t="s">
        <v>189</v>
      </c>
      <c r="Q1" s="176"/>
      <c r="R1" s="177" t="s">
        <v>190</v>
      </c>
      <c r="S1" s="178"/>
      <c r="T1" s="172"/>
      <c r="U1" s="172"/>
      <c r="V1" s="172"/>
    </row>
    <row r="2" spans="1:22" x14ac:dyDescent="0.25">
      <c r="B2" s="43"/>
      <c r="C2" s="82"/>
      <c r="D2" s="43"/>
      <c r="E2" s="43"/>
      <c r="F2" s="43"/>
      <c r="G2" s="43"/>
      <c r="H2" s="88" t="s">
        <v>184</v>
      </c>
      <c r="I2" s="89" t="s">
        <v>185</v>
      </c>
      <c r="J2" s="88" t="s">
        <v>184</v>
      </c>
      <c r="K2" s="89" t="s">
        <v>185</v>
      </c>
      <c r="L2" s="88" t="s">
        <v>184</v>
      </c>
      <c r="M2" s="89" t="s">
        <v>185</v>
      </c>
      <c r="N2" s="88" t="s">
        <v>184</v>
      </c>
      <c r="O2" s="89" t="s">
        <v>185</v>
      </c>
      <c r="P2" s="88" t="s">
        <v>184</v>
      </c>
      <c r="Q2" s="89" t="s">
        <v>185</v>
      </c>
      <c r="R2" s="88" t="s">
        <v>184</v>
      </c>
      <c r="S2" s="89" t="s">
        <v>185</v>
      </c>
      <c r="T2" s="172" t="s">
        <v>195</v>
      </c>
      <c r="U2" s="75" t="s">
        <v>186</v>
      </c>
      <c r="V2" s="75"/>
    </row>
    <row r="3" spans="1:22" ht="22.5" customHeight="1" x14ac:dyDescent="0.25">
      <c r="A3" s="67" t="s">
        <v>194</v>
      </c>
      <c r="B3" s="67" t="s">
        <v>123</v>
      </c>
      <c r="C3" s="69" t="s">
        <v>166</v>
      </c>
      <c r="D3" s="67" t="s">
        <v>125</v>
      </c>
      <c r="E3" s="67" t="s">
        <v>183</v>
      </c>
      <c r="F3" s="67" t="s">
        <v>167</v>
      </c>
      <c r="G3" s="67" t="s">
        <v>193</v>
      </c>
      <c r="H3" s="68"/>
      <c r="I3" s="179" t="s">
        <v>154</v>
      </c>
      <c r="J3" s="67"/>
      <c r="K3" s="179" t="s">
        <v>154</v>
      </c>
      <c r="L3" s="69"/>
      <c r="M3" s="179" t="s">
        <v>154</v>
      </c>
      <c r="N3" s="69"/>
      <c r="O3" s="179" t="s">
        <v>154</v>
      </c>
      <c r="P3" s="69"/>
      <c r="Q3" s="179" t="s">
        <v>154</v>
      </c>
      <c r="R3" s="68"/>
      <c r="S3" s="179" t="s">
        <v>154</v>
      </c>
      <c r="T3" s="69"/>
      <c r="U3" s="69"/>
      <c r="V3" s="69"/>
    </row>
    <row r="4" spans="1:22" s="36" customFormat="1" ht="12" x14ac:dyDescent="0.2">
      <c r="A4" s="35"/>
      <c r="B4" s="70"/>
      <c r="C4" s="83"/>
      <c r="D4" s="70"/>
      <c r="E4" s="70"/>
      <c r="F4" s="70"/>
      <c r="G4" s="70"/>
      <c r="H4" s="71"/>
      <c r="I4" s="179" t="s">
        <v>154</v>
      </c>
      <c r="J4" s="71"/>
      <c r="K4" s="179" t="s">
        <v>154</v>
      </c>
      <c r="L4" s="71"/>
      <c r="M4" s="179" t="s">
        <v>154</v>
      </c>
      <c r="N4" s="71"/>
      <c r="O4" s="179" t="s">
        <v>154</v>
      </c>
      <c r="P4" s="72"/>
      <c r="Q4" s="179" t="s">
        <v>154</v>
      </c>
      <c r="R4" s="71"/>
      <c r="S4" s="179" t="s">
        <v>154</v>
      </c>
      <c r="T4" s="72"/>
      <c r="U4" s="72"/>
      <c r="V4" s="71"/>
    </row>
    <row r="5" spans="1:22" s="36" customFormat="1" ht="12" x14ac:dyDescent="0.2">
      <c r="A5" s="35"/>
      <c r="B5" s="70"/>
      <c r="C5" s="83"/>
      <c r="D5" s="70"/>
      <c r="E5" s="70"/>
      <c r="F5" s="70"/>
      <c r="G5" s="70"/>
      <c r="H5" s="71"/>
      <c r="I5" s="179" t="s">
        <v>154</v>
      </c>
      <c r="J5" s="71"/>
      <c r="K5" s="179" t="s">
        <v>154</v>
      </c>
      <c r="L5" s="71"/>
      <c r="M5" s="179" t="s">
        <v>154</v>
      </c>
      <c r="N5" s="71"/>
      <c r="O5" s="179" t="s">
        <v>154</v>
      </c>
      <c r="P5" s="72"/>
      <c r="Q5" s="179" t="s">
        <v>154</v>
      </c>
      <c r="R5" s="71"/>
      <c r="S5" s="179" t="s">
        <v>154</v>
      </c>
      <c r="T5" s="72"/>
      <c r="U5" s="72"/>
      <c r="V5" s="71"/>
    </row>
    <row r="6" spans="1:22" s="36" customFormat="1" ht="12" x14ac:dyDescent="0.2">
      <c r="A6" s="35"/>
      <c r="B6" s="70"/>
      <c r="C6" s="83"/>
      <c r="D6" s="70"/>
      <c r="E6" s="70"/>
      <c r="F6" s="70"/>
      <c r="G6" s="70"/>
      <c r="H6" s="71"/>
      <c r="I6" s="179" t="s">
        <v>154</v>
      </c>
      <c r="J6" s="71"/>
      <c r="K6" s="179" t="s">
        <v>154</v>
      </c>
      <c r="L6" s="71"/>
      <c r="M6" s="179" t="s">
        <v>154</v>
      </c>
      <c r="N6" s="71"/>
      <c r="O6" s="179" t="s">
        <v>154</v>
      </c>
      <c r="P6" s="72"/>
      <c r="Q6" s="179" t="s">
        <v>154</v>
      </c>
      <c r="R6" s="71"/>
      <c r="S6" s="179" t="s">
        <v>154</v>
      </c>
      <c r="T6" s="73"/>
      <c r="U6" s="72"/>
      <c r="V6" s="76"/>
    </row>
    <row r="7" spans="1:22" s="36" customFormat="1" ht="12" x14ac:dyDescent="0.2">
      <c r="A7" s="35"/>
      <c r="B7" s="70"/>
      <c r="C7" s="83"/>
      <c r="D7" s="70"/>
      <c r="E7" s="70"/>
      <c r="F7" s="70"/>
      <c r="G7" s="70"/>
      <c r="H7" s="71"/>
      <c r="I7" s="179" t="s">
        <v>154</v>
      </c>
      <c r="J7" s="71"/>
      <c r="K7" s="179" t="s">
        <v>154</v>
      </c>
      <c r="L7" s="71"/>
      <c r="M7" s="179" t="s">
        <v>154</v>
      </c>
      <c r="N7" s="71"/>
      <c r="O7" s="179" t="s">
        <v>154</v>
      </c>
      <c r="P7" s="72"/>
      <c r="Q7" s="179" t="s">
        <v>154</v>
      </c>
      <c r="R7" s="71"/>
      <c r="S7" s="179" t="s">
        <v>154</v>
      </c>
      <c r="T7" s="73"/>
      <c r="U7" s="72"/>
      <c r="V7" s="76"/>
    </row>
    <row r="8" spans="1:22" x14ac:dyDescent="0.25">
      <c r="A8" s="90"/>
      <c r="B8" s="90"/>
      <c r="C8" s="83"/>
      <c r="D8" s="90"/>
      <c r="E8" s="90"/>
      <c r="F8" s="90"/>
      <c r="G8" s="90"/>
      <c r="H8" s="90"/>
      <c r="I8" s="179" t="s">
        <v>154</v>
      </c>
      <c r="J8" s="90"/>
      <c r="K8" s="179" t="s">
        <v>154</v>
      </c>
      <c r="L8" s="90"/>
      <c r="M8" s="179" t="s">
        <v>154</v>
      </c>
      <c r="N8" s="90"/>
      <c r="O8" s="179" t="s">
        <v>154</v>
      </c>
      <c r="P8" s="90"/>
      <c r="Q8" s="179" t="s">
        <v>154</v>
      </c>
      <c r="R8" s="90"/>
      <c r="S8" s="179" t="s">
        <v>154</v>
      </c>
      <c r="T8" s="90"/>
      <c r="U8" s="90"/>
      <c r="V8" s="85"/>
    </row>
    <row r="9" spans="1:22" x14ac:dyDescent="0.25">
      <c r="A9" s="90"/>
      <c r="B9" s="90"/>
      <c r="C9" s="83"/>
      <c r="D9" s="90"/>
      <c r="E9" s="90"/>
      <c r="F9" s="90"/>
      <c r="G9" s="90"/>
      <c r="H9" s="90"/>
      <c r="I9" s="179" t="s">
        <v>154</v>
      </c>
      <c r="J9" s="90"/>
      <c r="K9" s="179" t="s">
        <v>154</v>
      </c>
      <c r="L9" s="90"/>
      <c r="M9" s="179" t="s">
        <v>154</v>
      </c>
      <c r="N9" s="90"/>
      <c r="O9" s="179" t="s">
        <v>154</v>
      </c>
      <c r="P9" s="90"/>
      <c r="Q9" s="179" t="s">
        <v>154</v>
      </c>
      <c r="R9" s="90"/>
      <c r="S9" s="179" t="s">
        <v>154</v>
      </c>
      <c r="T9" s="90"/>
      <c r="U9" s="90"/>
      <c r="V9" s="85"/>
    </row>
    <row r="10" spans="1:22" x14ac:dyDescent="0.25">
      <c r="A10" s="90"/>
      <c r="B10" s="90"/>
      <c r="C10" s="83"/>
      <c r="D10" s="90"/>
      <c r="E10" s="90"/>
      <c r="F10" s="90"/>
      <c r="G10" s="90"/>
      <c r="H10" s="90"/>
      <c r="I10" s="179" t="s">
        <v>154</v>
      </c>
      <c r="J10" s="90"/>
      <c r="K10" s="179" t="s">
        <v>154</v>
      </c>
      <c r="L10" s="90"/>
      <c r="M10" s="179" t="s">
        <v>154</v>
      </c>
      <c r="N10" s="90"/>
      <c r="O10" s="179" t="s">
        <v>154</v>
      </c>
      <c r="P10" s="90"/>
      <c r="Q10" s="179" t="s">
        <v>154</v>
      </c>
      <c r="R10" s="90"/>
      <c r="S10" s="179" t="s">
        <v>154</v>
      </c>
      <c r="T10" s="90"/>
      <c r="U10" s="90"/>
      <c r="V10" s="85"/>
    </row>
    <row r="11" spans="1:22" x14ac:dyDescent="0.25">
      <c r="A11" s="90"/>
      <c r="B11" s="90"/>
      <c r="C11" s="83"/>
      <c r="D11" s="90"/>
      <c r="E11" s="90"/>
      <c r="F11" s="90"/>
      <c r="G11" s="90"/>
      <c r="H11" s="90"/>
      <c r="I11" s="179" t="s">
        <v>154</v>
      </c>
      <c r="J11" s="90"/>
      <c r="K11" s="179" t="s">
        <v>154</v>
      </c>
      <c r="L11" s="90"/>
      <c r="M11" s="179" t="s">
        <v>154</v>
      </c>
      <c r="N11" s="90"/>
      <c r="O11" s="179" t="s">
        <v>154</v>
      </c>
      <c r="P11" s="90"/>
      <c r="Q11" s="179" t="s">
        <v>154</v>
      </c>
      <c r="R11" s="90"/>
      <c r="S11" s="179" t="s">
        <v>154</v>
      </c>
      <c r="T11" s="90"/>
      <c r="U11" s="90"/>
      <c r="V11" s="85"/>
    </row>
    <row r="21" spans="8:8" x14ac:dyDescent="0.25">
      <c r="H21" s="86"/>
    </row>
  </sheetData>
  <mergeCells count="6">
    <mergeCell ref="H1:I1"/>
    <mergeCell ref="J1:K1"/>
    <mergeCell ref="L1:M1"/>
    <mergeCell ref="N1:O1"/>
    <mergeCell ref="P1:Q1"/>
    <mergeCell ref="R1:S1"/>
  </mergeCells>
  <conditionalFormatting sqref="L1 L3:L1048576">
    <cfRule type="cellIs" dxfId="9" priority="7" operator="equal">
      <formula>"EXPERTO"</formula>
    </cfRule>
  </conditionalFormatting>
  <conditionalFormatting sqref="Q12:Q1048576">
    <cfRule type="cellIs" dxfId="8" priority="4" operator="equal">
      <formula>"BAJO"</formula>
    </cfRule>
    <cfRule type="cellIs" dxfId="7" priority="5" operator="equal">
      <formula>"MEDIO"</formula>
    </cfRule>
    <cfRule type="cellIs" dxfId="6" priority="6" operator="equal">
      <formula>"ALTO"</formula>
    </cfRule>
  </conditionalFormatting>
  <conditionalFormatting sqref="V1:V11">
    <cfRule type="cellIs" dxfId="2" priority="1" operator="equal">
      <formula>"BAJO"</formula>
    </cfRule>
    <cfRule type="cellIs" dxfId="1" priority="2" operator="equal">
      <formula>"MEDIO"</formula>
    </cfRule>
    <cfRule type="cellIs" dxfId="0" priority="3" operator="equal">
      <formula>"ALTO"</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8851-5293-4236-BDA3-16F0E500D1EB}">
  <dimension ref="A1:H20"/>
  <sheetViews>
    <sheetView workbookViewId="0">
      <selection activeCell="C18" sqref="C18"/>
    </sheetView>
  </sheetViews>
  <sheetFormatPr baseColWidth="10" defaultColWidth="11.42578125" defaultRowHeight="12" x14ac:dyDescent="0.2"/>
  <cols>
    <col min="1" max="2" width="11.42578125" style="36"/>
    <col min="3" max="3" width="39.28515625" style="36" customWidth="1"/>
    <col min="4" max="4" width="11.42578125" style="36"/>
    <col min="5" max="5" width="38" style="36" customWidth="1"/>
    <col min="6" max="6" width="5.7109375" style="42" customWidth="1"/>
    <col min="7" max="7" width="6.85546875" style="36" customWidth="1"/>
    <col min="8" max="8" width="23.28515625" style="36" customWidth="1"/>
    <col min="9" max="10" width="12" style="36" customWidth="1"/>
    <col min="11" max="11" width="22.85546875" style="36" customWidth="1"/>
    <col min="12" max="16384" width="11.42578125" style="36"/>
  </cols>
  <sheetData>
    <row r="1" spans="1:8" ht="15" x14ac:dyDescent="0.2">
      <c r="A1" s="34" t="s">
        <v>128</v>
      </c>
      <c r="B1" s="34" t="s">
        <v>129</v>
      </c>
      <c r="C1" s="35"/>
      <c r="E1" s="37" t="s">
        <v>131</v>
      </c>
      <c r="H1" s="7" t="s">
        <v>119</v>
      </c>
    </row>
    <row r="2" spans="1:8" ht="15" x14ac:dyDescent="0.2">
      <c r="A2" s="38" t="s">
        <v>139</v>
      </c>
      <c r="B2" s="38" t="s">
        <v>139</v>
      </c>
      <c r="C2" s="39" t="s">
        <v>140</v>
      </c>
      <c r="E2" s="40" t="s">
        <v>134</v>
      </c>
      <c r="H2" s="2" t="s">
        <v>120</v>
      </c>
    </row>
    <row r="3" spans="1:8" ht="15" x14ac:dyDescent="0.2">
      <c r="A3" s="38" t="s">
        <v>139</v>
      </c>
      <c r="B3" s="38" t="s">
        <v>141</v>
      </c>
      <c r="C3" s="39" t="s">
        <v>142</v>
      </c>
      <c r="E3" s="41" t="s">
        <v>132</v>
      </c>
      <c r="H3" s="2" t="s">
        <v>121</v>
      </c>
    </row>
    <row r="4" spans="1:8" ht="15" x14ac:dyDescent="0.2">
      <c r="A4" s="38" t="s">
        <v>139</v>
      </c>
      <c r="B4" s="38" t="s">
        <v>143</v>
      </c>
      <c r="C4" s="39" t="s">
        <v>152</v>
      </c>
      <c r="E4" s="41" t="s">
        <v>136</v>
      </c>
      <c r="H4" s="2" t="s">
        <v>122</v>
      </c>
    </row>
    <row r="5" spans="1:8" x14ac:dyDescent="0.2">
      <c r="A5" s="38" t="s">
        <v>141</v>
      </c>
      <c r="B5" s="38" t="s">
        <v>139</v>
      </c>
      <c r="C5" s="39" t="s">
        <v>153</v>
      </c>
      <c r="E5" s="39" t="s">
        <v>144</v>
      </c>
    </row>
    <row r="6" spans="1:8" x14ac:dyDescent="0.2">
      <c r="A6" s="38" t="s">
        <v>141</v>
      </c>
      <c r="B6" s="38" t="s">
        <v>141</v>
      </c>
      <c r="C6" s="39" t="s">
        <v>145</v>
      </c>
      <c r="E6" s="35" t="s">
        <v>135</v>
      </c>
    </row>
    <row r="7" spans="1:8" x14ac:dyDescent="0.2">
      <c r="A7" s="38" t="s">
        <v>141</v>
      </c>
      <c r="B7" s="38" t="s">
        <v>143</v>
      </c>
      <c r="C7" s="35" t="s">
        <v>146</v>
      </c>
      <c r="E7" s="39" t="s">
        <v>147</v>
      </c>
    </row>
    <row r="8" spans="1:8" ht="24" x14ac:dyDescent="0.2">
      <c r="A8" s="38" t="s">
        <v>143</v>
      </c>
      <c r="B8" s="38" t="s">
        <v>139</v>
      </c>
      <c r="C8" s="39" t="s">
        <v>148</v>
      </c>
      <c r="E8" s="39" t="s">
        <v>149</v>
      </c>
    </row>
    <row r="9" spans="1:8" ht="24" x14ac:dyDescent="0.2">
      <c r="A9" s="38" t="s">
        <v>143</v>
      </c>
      <c r="B9" s="38" t="s">
        <v>141</v>
      </c>
      <c r="C9" s="39" t="s">
        <v>150</v>
      </c>
      <c r="F9" s="36"/>
    </row>
    <row r="10" spans="1:8" x14ac:dyDescent="0.2">
      <c r="A10" s="38" t="s">
        <v>143</v>
      </c>
      <c r="B10" s="38" t="s">
        <v>143</v>
      </c>
      <c r="C10" s="39" t="s">
        <v>151</v>
      </c>
      <c r="F10" s="36"/>
    </row>
    <row r="11" spans="1:8" x14ac:dyDescent="0.2">
      <c r="F11" s="36"/>
    </row>
    <row r="12" spans="1:8" x14ac:dyDescent="0.2">
      <c r="F12" s="36"/>
    </row>
    <row r="13" spans="1:8" x14ac:dyDescent="0.2">
      <c r="F13" s="36"/>
    </row>
    <row r="14" spans="1:8" x14ac:dyDescent="0.2">
      <c r="F14" s="36"/>
    </row>
    <row r="15" spans="1:8" x14ac:dyDescent="0.2">
      <c r="F15" s="36"/>
    </row>
    <row r="16" spans="1:8" x14ac:dyDescent="0.2">
      <c r="F16" s="36"/>
    </row>
    <row r="17" spans="6:6" x14ac:dyDescent="0.2">
      <c r="F17" s="36"/>
    </row>
    <row r="18" spans="6:6" x14ac:dyDescent="0.2">
      <c r="F18" s="36"/>
    </row>
    <row r="19" spans="6:6" x14ac:dyDescent="0.2">
      <c r="F19" s="36"/>
    </row>
    <row r="20" spans="6:6" x14ac:dyDescent="0.2">
      <c r="F20"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252135D1A50B744B7C6C05DDB9060C3" ma:contentTypeVersion="18" ma:contentTypeDescription="Crear nuevo documento." ma:contentTypeScope="" ma:versionID="0d4b2704df4ed5a14075bf9caa8f85b1">
  <xsd:schema xmlns:xsd="http://www.w3.org/2001/XMLSchema" xmlns:xs="http://www.w3.org/2001/XMLSchema" xmlns:p="http://schemas.microsoft.com/office/2006/metadata/properties" xmlns:ns2="6e599481-207a-4d9a-9778-fc76b349e28c" xmlns:ns3="a0d85f34-9a1d-43e0-ba2d-7d5dc167dc0d" targetNamespace="http://schemas.microsoft.com/office/2006/metadata/properties" ma:root="true" ma:fieldsID="7cf67e2c76dbc2dd5d0f557cc8809cba" ns2:_="" ns3:_="">
    <xsd:import namespace="6e599481-207a-4d9a-9778-fc76b349e28c"/>
    <xsd:import namespace="a0d85f34-9a1d-43e0-ba2d-7d5dc167dc0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99481-207a-4d9a-9778-fc76b349e2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1a92e14c-5eea-4bc5-a687-d6ddea1253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d85f34-9a1d-43e0-ba2d-7d5dc167dc0d"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6415b26e-9882-4c72-a44d-c1682587dfbb}" ma:internalName="TaxCatchAll" ma:showField="CatchAllData" ma:web="a0d85f34-9a1d-43e0-ba2d-7d5dc167dc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0d85f34-9a1d-43e0-ba2d-7d5dc167dc0d" xsi:nil="true"/>
    <lcf76f155ced4ddcb4097134ff3c332f xmlns="6e599481-207a-4d9a-9778-fc76b349e28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1B620A-A79D-4215-99C0-5941E994BA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599481-207a-4d9a-9778-fc76b349e28c"/>
    <ds:schemaRef ds:uri="a0d85f34-9a1d-43e0-ba2d-7d5dc167dc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B6AC00-5C9D-42CE-B269-063822BED23C}">
  <ds:schemaRefs>
    <ds:schemaRef ds:uri="http://schemas.microsoft.com/office/2006/metadata/properties"/>
    <ds:schemaRef ds:uri="http://schemas.microsoft.com/office/infopath/2007/PartnerControls"/>
    <ds:schemaRef ds:uri="a0d85f34-9a1d-43e0-ba2d-7d5dc167dc0d"/>
    <ds:schemaRef ds:uri="6e599481-207a-4d9a-9778-fc76b349e28c"/>
  </ds:schemaRefs>
</ds:datastoreItem>
</file>

<file path=customXml/itemProps3.xml><?xml version="1.0" encoding="utf-8"?>
<ds:datastoreItem xmlns:ds="http://schemas.openxmlformats.org/officeDocument/2006/customXml" ds:itemID="{D21F4EC0-B9EF-44B1-94A6-7E8534B486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Evaluación SyP</vt:lpstr>
      <vt:lpstr>Metodología </vt:lpstr>
      <vt:lpstr>Inf.Trabj 1 (2)</vt:lpstr>
      <vt:lpstr>Informe Global</vt:lpstr>
      <vt:lpstr>Listas cerradas</vt:lpstr>
      <vt:lpstr>'Evaluación SyP'!Área_de_impresión</vt:lpstr>
      <vt:lpstr>'Inf.Trabj 1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Gila, Esther</dc:creator>
  <cp:lastModifiedBy>Fernandez Gila, Esther</cp:lastModifiedBy>
  <cp:lastPrinted>2024-10-20T01:20:46Z</cp:lastPrinted>
  <dcterms:created xsi:type="dcterms:W3CDTF">2023-11-24T09:13:58Z</dcterms:created>
  <dcterms:modified xsi:type="dcterms:W3CDTF">2024-11-22T12:21:23Z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0x010100A252135D1A50B744B7C6C05DDB9060C3</vt:lpwstr>
  </property>
</Properties>
</file>